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NLYYYA\Downloads\"/>
    </mc:Choice>
  </mc:AlternateContent>
  <xr:revisionPtr revIDLastSave="0" documentId="13_ncr:1_{7C6AD596-CB19-41DE-ADCD-3AE8882AFC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epaid Summary" sheetId="1" r:id="rId1"/>
    <sheet name="Prepaid Expenses" sheetId="2" r:id="rId2"/>
    <sheet name="Prepaid Insurance" sheetId="3" r:id="rId3"/>
  </sheets>
  <definedNames>
    <definedName name="_xlnm._FilterDatabase" localSheetId="1" hidden="1">'Prepaid Expenses'!$A$5:$S$46</definedName>
    <definedName name="_xlnm._FilterDatabase" localSheetId="2" hidden="1">'Prepaid Insurance'!$A$6:$S$31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3" l="1"/>
  <c r="C40" i="3"/>
  <c r="D39" i="3"/>
  <c r="C39" i="3"/>
  <c r="D38" i="3"/>
  <c r="C38" i="3"/>
  <c r="D37" i="3"/>
  <c r="D41" i="3" s="1"/>
  <c r="D8" i="1" s="1"/>
  <c r="C37" i="3"/>
  <c r="C41" i="3" s="1"/>
  <c r="C8" i="1" s="1"/>
  <c r="S32" i="3"/>
  <c r="R32" i="3"/>
  <c r="Q32" i="3"/>
  <c r="P32" i="3"/>
  <c r="O32" i="3"/>
  <c r="N32" i="3"/>
  <c r="M32" i="3"/>
  <c r="L32" i="3"/>
  <c r="K32" i="3"/>
  <c r="F32" i="3"/>
  <c r="D55" i="2"/>
  <c r="C55" i="2"/>
  <c r="D54" i="2"/>
  <c r="C54" i="2"/>
  <c r="D53" i="2"/>
  <c r="C53" i="2"/>
  <c r="D52" i="2"/>
  <c r="D56" i="2" s="1"/>
  <c r="D7" i="1" s="1"/>
  <c r="D9" i="1" s="1"/>
  <c r="C52" i="2"/>
  <c r="E52" i="2" s="1"/>
  <c r="S47" i="2"/>
  <c r="R47" i="2"/>
  <c r="Q47" i="2"/>
  <c r="P47" i="2"/>
  <c r="O47" i="2"/>
  <c r="N47" i="2"/>
  <c r="M47" i="2"/>
  <c r="L47" i="2"/>
  <c r="K47" i="2"/>
  <c r="F47" i="2"/>
  <c r="F9" i="1"/>
  <c r="B53" i="2" l="1"/>
  <c r="E53" i="2" s="1"/>
  <c r="G52" i="2"/>
  <c r="B14" i="1"/>
  <c r="D14" i="1" s="1"/>
  <c r="E37" i="3"/>
  <c r="C56" i="2"/>
  <c r="C7" i="1" s="1"/>
  <c r="C9" i="1" s="1"/>
  <c r="B38" i="3" l="1"/>
  <c r="E38" i="3" s="1"/>
  <c r="G37" i="3"/>
  <c r="E14" i="1"/>
  <c r="G14" i="1" s="1"/>
  <c r="G53" i="2"/>
  <c r="B15" i="1"/>
  <c r="D15" i="1" s="1"/>
  <c r="B54" i="2"/>
  <c r="E54" i="2" s="1"/>
  <c r="B16" i="1" l="1"/>
  <c r="D16" i="1" s="1"/>
  <c r="B55" i="2"/>
  <c r="E55" i="2" s="1"/>
  <c r="G54" i="2"/>
  <c r="B39" i="3"/>
  <c r="E39" i="3" s="1"/>
  <c r="G38" i="3"/>
  <c r="E15" i="1"/>
  <c r="G15" i="1" s="1"/>
  <c r="G55" i="2" l="1"/>
  <c r="B17" i="1"/>
  <c r="D17" i="1" s="1"/>
  <c r="E56" i="2"/>
  <c r="B40" i="3"/>
  <c r="E40" i="3" s="1"/>
  <c r="G39" i="3"/>
  <c r="E16" i="1"/>
  <c r="G16" i="1" s="1"/>
  <c r="G56" i="2" l="1"/>
  <c r="E7" i="1"/>
  <c r="E41" i="3"/>
  <c r="E17" i="1"/>
  <c r="G17" i="1" s="1"/>
  <c r="G40" i="3"/>
  <c r="G41" i="3" l="1"/>
  <c r="E8" i="1"/>
  <c r="G8" i="1" s="1"/>
  <c r="G7" i="1"/>
  <c r="G9" i="1" s="1"/>
  <c r="E9" i="1"/>
</calcChain>
</file>

<file path=xl/sharedStrings.xml><?xml version="1.0" encoding="utf-8"?>
<sst xmlns="http://schemas.openxmlformats.org/spreadsheetml/2006/main" count="296" uniqueCount="155">
  <si>
    <t>Aurisic Prepaid Summary</t>
  </si>
  <si>
    <t>Reporting period through 4/30/2025</t>
  </si>
  <si>
    <t>Snapshot pulled from the detailed supporting tabs.</t>
  </si>
  <si>
    <t>Account</t>
  </si>
  <si>
    <t>Account #</t>
  </si>
  <si>
    <t>YTD Prepaids Booked</t>
  </si>
  <si>
    <t>YTD Amortization</t>
  </si>
  <si>
    <t>Ending Balance 4/30/2025</t>
  </si>
  <si>
    <t>GL Balance 4/30/2025</t>
  </si>
  <si>
    <t>Difference</t>
  </si>
  <si>
    <t>Prepaid Expenses</t>
  </si>
  <si>
    <t>Prepaid Insurance</t>
  </si>
  <si>
    <t>Total</t>
  </si>
  <si>
    <t>Monthly Ending Balance Reconciliation</t>
  </si>
  <si>
    <t>Month</t>
  </si>
  <si>
    <t>1250 Schedule</t>
  </si>
  <si>
    <t>1250 GL</t>
  </si>
  <si>
    <t>1250 Diff</t>
  </si>
  <si>
    <t>1251 Schedule</t>
  </si>
  <si>
    <t>1251 GL</t>
  </si>
  <si>
    <t>1251 Diff</t>
  </si>
  <si>
    <t>Jan-25</t>
  </si>
  <si>
    <t>Feb-25</t>
  </si>
  <si>
    <t>Mar-25</t>
  </si>
  <si>
    <t>Apr-25</t>
  </si>
  <si>
    <t>Prepaid Expenses (Account #1250)</t>
  </si>
  <si>
    <t>Aurisic | Reporting period through 4/30/2025</t>
  </si>
  <si>
    <t>Default assumption applied to all prepaid service invoices: amortize over 6 months starting in the invoice month when no specific period is stated.</t>
  </si>
  <si>
    <t>Vendor</t>
  </si>
  <si>
    <t>Invoice #</t>
  </si>
  <si>
    <t>Invoice Date</t>
  </si>
  <si>
    <t>Description</t>
  </si>
  <si>
    <t>Original Amount</t>
  </si>
  <si>
    <t>Amortization Start</t>
  </si>
  <si>
    <t>Amortization End</t>
  </si>
  <si>
    <t>Months</t>
  </si>
  <si>
    <t>Monthly Expense</t>
  </si>
  <si>
    <t>Jan Expense</t>
  </si>
  <si>
    <t>Jan End Bal</t>
  </si>
  <si>
    <t>Feb Expense</t>
  </si>
  <si>
    <t>Feb End Bal</t>
  </si>
  <si>
    <t>Mar Expense</t>
  </si>
  <si>
    <t>Mar End Bal</t>
  </si>
  <si>
    <t>Apr Expense</t>
  </si>
  <si>
    <t>Apr End Bal</t>
  </si>
  <si>
    <t>ADOBE MAGENTO</t>
  </si>
  <si>
    <t>450522</t>
  </si>
  <si>
    <t>IT Services</t>
  </si>
  <si>
    <t>497516</t>
  </si>
  <si>
    <t>ALTAIR</t>
  </si>
  <si>
    <t>684836</t>
  </si>
  <si>
    <t>AMESITE</t>
  </si>
  <si>
    <t>322437</t>
  </si>
  <si>
    <t>CDW</t>
  </si>
  <si>
    <t>327658</t>
  </si>
  <si>
    <t>408381</t>
  </si>
  <si>
    <t>502016</t>
  </si>
  <si>
    <t>504643</t>
  </si>
  <si>
    <t>895791</t>
  </si>
  <si>
    <t>235739</t>
  </si>
  <si>
    <t>522712</t>
  </si>
  <si>
    <t>593096</t>
  </si>
  <si>
    <t>CIMSOURCE</t>
  </si>
  <si>
    <t>441154</t>
  </si>
  <si>
    <t>CISCO</t>
  </si>
  <si>
    <t>190461</t>
  </si>
  <si>
    <t>Subscription</t>
  </si>
  <si>
    <t>Connection Business</t>
  </si>
  <si>
    <t>255348</t>
  </si>
  <si>
    <t>Ex Quanta Inc</t>
  </si>
  <si>
    <t>230903</t>
  </si>
  <si>
    <t>567118</t>
  </si>
  <si>
    <t>793147</t>
  </si>
  <si>
    <t>Expertek</t>
  </si>
  <si>
    <t>105121</t>
  </si>
  <si>
    <t>Global Services</t>
  </si>
  <si>
    <t>148472</t>
  </si>
  <si>
    <t>Technical Services Fee</t>
  </si>
  <si>
    <t>High Radius</t>
  </si>
  <si>
    <t>156037</t>
  </si>
  <si>
    <t>262817</t>
  </si>
  <si>
    <t>Infopercept</t>
  </si>
  <si>
    <t>747801</t>
  </si>
  <si>
    <t>INFOR</t>
  </si>
  <si>
    <t>179361</t>
  </si>
  <si>
    <t>938443</t>
  </si>
  <si>
    <t>Magento</t>
  </si>
  <si>
    <t>829475</t>
  </si>
  <si>
    <t>Punchout2Go</t>
  </si>
  <si>
    <t>844922</t>
  </si>
  <si>
    <t>SENTINEL</t>
  </si>
  <si>
    <t>863790</t>
  </si>
  <si>
    <t>Synergetic Data Systems</t>
  </si>
  <si>
    <t>908787</t>
  </si>
  <si>
    <t>TheUserGroup.org</t>
  </si>
  <si>
    <t>692889</t>
  </si>
  <si>
    <t>Trac Trenching</t>
  </si>
  <si>
    <t>583302</t>
  </si>
  <si>
    <t>TradeCentric LLC</t>
  </si>
  <si>
    <t>395398</t>
  </si>
  <si>
    <t>Building Maintenance</t>
  </si>
  <si>
    <t>395427</t>
  </si>
  <si>
    <t>696058</t>
  </si>
  <si>
    <t>UHY</t>
  </si>
  <si>
    <t>342831</t>
  </si>
  <si>
    <t>Advising</t>
  </si>
  <si>
    <t>798191</t>
  </si>
  <si>
    <t>Value Labs</t>
  </si>
  <si>
    <t>331078</t>
  </si>
  <si>
    <t>White Rock Cyber</t>
  </si>
  <si>
    <t>975479</t>
  </si>
  <si>
    <t>166569</t>
  </si>
  <si>
    <t>900457</t>
  </si>
  <si>
    <t>ZOHO Corporation</t>
  </si>
  <si>
    <t>418931</t>
  </si>
  <si>
    <t>Total detail schedule</t>
  </si>
  <si>
    <t>Monthly Activity Summary</t>
  </si>
  <si>
    <t>Beginning Balance</t>
  </si>
  <si>
    <t>Additions</t>
  </si>
  <si>
    <t>Amortization</t>
  </si>
  <si>
    <t>Ending Balance</t>
  </si>
  <si>
    <t>GL Balance</t>
  </si>
  <si>
    <t>YTD Total</t>
  </si>
  <si>
    <t>Prepaid Insurance (Account #1251)</t>
  </si>
  <si>
    <t>Policy assumptions: Good Insurance invoices amortized straight-line over 12 months from 1/1/2025 to 12/31/2025.</t>
  </si>
  <si>
    <t>BCBS invoices are treated as one month paid in advance: Jan invoice covers Feb, Feb covers Mar, Mar covers Apr, Apr covers May.</t>
  </si>
  <si>
    <t>BCBS</t>
  </si>
  <si>
    <t>8767</t>
  </si>
  <si>
    <t>Healthcare</t>
  </si>
  <si>
    <t>4373</t>
  </si>
  <si>
    <t>6072</t>
  </si>
  <si>
    <t>5731</t>
  </si>
  <si>
    <t>Good Insurance</t>
  </si>
  <si>
    <t>1100</t>
  </si>
  <si>
    <t>Insurance Policy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</si>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</sst>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/d/yyyy"/>
    <numFmt numFmtId="166" formatCode="\$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name val="Calibri"/>
    </font>
    <font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i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4BACC6"/>
      </patternFill>
    </fill>
    <fill>
      <patternFill patternType="solid">
        <fgColor rgb="FFD9EAD3"/>
      </patternFill>
    </fill>
    <fill>
      <patternFill patternType="solid">
        <fgColor rgb="FF9BBB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0" borderId="0" xfId="0" applyFont="1"/>
    <xf numFmtId="0" fontId="4" fillId="7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5" fillId="8" borderId="1" xfId="0" applyFont="1" applyFill="1" applyBorder="1"/>
    <xf numFmtId="0" fontId="0" fillId="8" borderId="1" xfId="0" applyFill="1" applyBorder="1"/>
    <xf numFmtId="166" fontId="5" fillId="8" borderId="1" xfId="0" applyNumberFormat="1" applyFont="1" applyFill="1" applyBorder="1"/>
    <xf numFmtId="0" fontId="6" fillId="0" borderId="0" xfId="0" applyFont="1"/>
    <xf numFmtId="0" fontId="4" fillId="9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5" fillId="4" borderId="0" xfId="0" applyFont="1" applyFill="1"/>
    <xf numFmtId="0" fontId="0" fillId="4" borderId="0" xfId="0" applyFill="1"/>
    <xf numFmtId="166" fontId="5" fillId="4" borderId="0" xfId="0" applyNumberFormat="1" applyFont="1" applyFill="1"/>
    <xf numFmtId="0" fontId="4" fillId="5" borderId="1" xfId="0" applyFont="1" applyFill="1" applyBorder="1" applyAlignment="1">
      <alignment horizontal="center"/>
    </xf>
    <xf numFmtId="166" fontId="0" fillId="0" borderId="0" xfId="0" applyNumberFormat="1"/>
    <xf numFmtId="0" fontId="5" fillId="6" borderId="0" xfId="0" applyFont="1" applyFill="1"/>
    <xf numFmtId="0" fontId="0" fillId="6" borderId="0" xfId="0" applyFill="1"/>
    <xf numFmtId="166" fontId="5" fillId="6" borderId="0" xfId="0" applyNumberFormat="1" applyFont="1" applyFill="1"/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pane ySplit="5" topLeftCell="A6" activePane="bottomLeft" state="frozen"/>
      <selection pane="bottomLeft" activeCell="C22" sqref="C22"/>
    </sheetView>
  </sheetViews>
  <sheetFormatPr defaultRowHeight="14.4" x14ac:dyDescent="0.3"/>
  <cols>
    <col min="1" max="1" width="26" customWidth="1"/>
    <col min="2" max="2" width="25" customWidth="1"/>
    <col min="3" max="5" width="26" customWidth="1"/>
    <col min="6" max="6" width="22" customWidth="1"/>
    <col min="7" max="7" width="19" customWidth="1"/>
  </cols>
  <sheetData>
    <row r="1" spans="1:7" ht="18" x14ac:dyDescent="0.35">
      <c r="A1" s="22" t="s">
        <v>0</v>
      </c>
      <c r="B1" s="21"/>
      <c r="C1" s="21"/>
      <c r="D1" s="21"/>
      <c r="E1" s="21"/>
      <c r="F1" s="21"/>
      <c r="G1" s="21"/>
    </row>
    <row r="2" spans="1:7" x14ac:dyDescent="0.3">
      <c r="A2" s="20" t="s">
        <v>1</v>
      </c>
      <c r="B2" s="21"/>
      <c r="C2" s="21"/>
      <c r="D2" s="21"/>
      <c r="E2" s="21"/>
      <c r="F2" s="21"/>
      <c r="G2" s="21"/>
    </row>
    <row r="4" spans="1:7" x14ac:dyDescent="0.3">
      <c r="A4" s="1" t="s">
        <v>2</v>
      </c>
    </row>
    <row r="6" spans="1:7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1:7" x14ac:dyDescent="0.3">
      <c r="A7" s="3" t="s">
        <v>10</v>
      </c>
      <c r="B7" s="3">
        <v>1250</v>
      </c>
      <c r="C7" s="4">
        <f>'Prepaid Expenses'!C56</f>
        <v>1087156.21</v>
      </c>
      <c r="D7" s="4">
        <f>'Prepaid Expenses'!D56</f>
        <v>527778.60166666668</v>
      </c>
      <c r="E7" s="4">
        <f>'Prepaid Expenses'!E56</f>
        <v>559377.61</v>
      </c>
      <c r="F7" s="4">
        <v>559377.61</v>
      </c>
      <c r="G7" s="4">
        <f>ROUND(E7-F7,2)</f>
        <v>0</v>
      </c>
    </row>
    <row r="8" spans="1:7" x14ac:dyDescent="0.3">
      <c r="A8" s="3" t="s">
        <v>11</v>
      </c>
      <c r="B8" s="3">
        <v>1251</v>
      </c>
      <c r="C8" s="4">
        <f>'Prepaid Insurance'!C41</f>
        <v>568698.22000000009</v>
      </c>
      <c r="D8" s="4">
        <f>'Prepaid Insurance'!D41</f>
        <v>198721.52333333335</v>
      </c>
      <c r="E8" s="4">
        <f>'Prepaid Insurance'!E41</f>
        <v>369976.69</v>
      </c>
      <c r="F8" s="4">
        <v>369976.7</v>
      </c>
      <c r="G8" s="4">
        <f>ROUND(E8-F8,2)</f>
        <v>-0.01</v>
      </c>
    </row>
    <row r="9" spans="1:7" x14ac:dyDescent="0.3">
      <c r="A9" s="5" t="s">
        <v>12</v>
      </c>
      <c r="B9" s="6"/>
      <c r="C9" s="7">
        <f>SUM(C7:C8)</f>
        <v>1655854.4300000002</v>
      </c>
      <c r="D9" s="7">
        <f>SUM(D7:D8)</f>
        <v>726500.125</v>
      </c>
      <c r="E9" s="7">
        <f>SUM(E7:E8)</f>
        <v>929354.3</v>
      </c>
      <c r="F9" s="7">
        <f>SUM(F7:F8)</f>
        <v>929354.31</v>
      </c>
      <c r="G9" s="7">
        <f>SUM(G7:G8)</f>
        <v>-0.01</v>
      </c>
    </row>
    <row r="12" spans="1:7" ht="15.6" x14ac:dyDescent="0.3">
      <c r="A12" s="8" t="s">
        <v>13</v>
      </c>
    </row>
    <row r="13" spans="1:7" x14ac:dyDescent="0.3">
      <c r="A13" s="9" t="s">
        <v>14</v>
      </c>
      <c r="B13" s="9" t="s">
        <v>15</v>
      </c>
      <c r="C13" s="9" t="s">
        <v>16</v>
      </c>
      <c r="D13" s="9" t="s">
        <v>17</v>
      </c>
      <c r="E13" s="9" t="s">
        <v>18</v>
      </c>
      <c r="F13" s="9" t="s">
        <v>19</v>
      </c>
      <c r="G13" s="9" t="s">
        <v>20</v>
      </c>
    </row>
    <row r="14" spans="1:7" x14ac:dyDescent="0.3">
      <c r="A14" s="3" t="s">
        <v>21</v>
      </c>
      <c r="B14" s="4">
        <f>'Prepaid Expenses'!E52</f>
        <v>518934.86</v>
      </c>
      <c r="C14" s="4">
        <v>518934.86</v>
      </c>
      <c r="D14" s="4">
        <f>ROUND(B14-C14,2)</f>
        <v>0</v>
      </c>
      <c r="E14" s="4">
        <f>'Prepaid Insurance'!E37</f>
        <v>506657.98</v>
      </c>
      <c r="F14" s="4">
        <v>506657.98</v>
      </c>
      <c r="G14" s="4">
        <f>ROUND(E14-F14,2)</f>
        <v>0</v>
      </c>
    </row>
    <row r="15" spans="1:7" x14ac:dyDescent="0.3">
      <c r="A15" s="3" t="s">
        <v>22</v>
      </c>
      <c r="B15" s="4">
        <f>'Prepaid Expenses'!E53</f>
        <v>426673.13</v>
      </c>
      <c r="C15" s="4">
        <v>426673.13</v>
      </c>
      <c r="D15" s="4">
        <f>ROUND(B15-C15,2)</f>
        <v>0</v>
      </c>
      <c r="E15" s="4">
        <f>'Prepaid Insurance'!E38</f>
        <v>461097.55</v>
      </c>
      <c r="F15" s="4">
        <v>461097.55</v>
      </c>
      <c r="G15" s="4">
        <f>ROUND(E15-F15,2)</f>
        <v>0</v>
      </c>
    </row>
    <row r="16" spans="1:7" x14ac:dyDescent="0.3">
      <c r="A16" s="3" t="s">
        <v>23</v>
      </c>
      <c r="B16" s="4">
        <f>'Prepaid Expenses'!E54</f>
        <v>473655.55</v>
      </c>
      <c r="C16" s="4">
        <v>473655.55</v>
      </c>
      <c r="D16" s="4">
        <f>ROUND(B16-C16,2)</f>
        <v>0</v>
      </c>
      <c r="E16" s="4">
        <f>'Prepaid Insurance'!E39</f>
        <v>415537.12</v>
      </c>
      <c r="F16" s="4">
        <v>415537.13</v>
      </c>
      <c r="G16" s="4">
        <f>ROUND(E16-F16,2)</f>
        <v>-0.01</v>
      </c>
    </row>
    <row r="17" spans="1:7" x14ac:dyDescent="0.3">
      <c r="A17" s="3" t="s">
        <v>24</v>
      </c>
      <c r="B17" s="4">
        <f>'Prepaid Expenses'!E55</f>
        <v>559377.61</v>
      </c>
      <c r="C17" s="4">
        <v>559377.61</v>
      </c>
      <c r="D17" s="4">
        <f>ROUND(B17-C17,2)</f>
        <v>0</v>
      </c>
      <c r="E17" s="4">
        <f>'Prepaid Insurance'!E40</f>
        <v>369976.69</v>
      </c>
      <c r="F17" s="4">
        <v>369976.7</v>
      </c>
      <c r="G17" s="4">
        <f>ROUND(E17-F17,2)</f>
        <v>-0.01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6"/>
  <sheetViews>
    <sheetView workbookViewId="0">
      <pane ySplit="5" topLeftCell="A6" activePane="bottomLeft" state="frozen"/>
      <selection pane="bottomLeft" activeCell="H9" sqref="H9"/>
    </sheetView>
  </sheetViews>
  <sheetFormatPr defaultRowHeight="14.4" x14ac:dyDescent="0.3"/>
  <cols>
    <col min="1" max="1" width="22" customWidth="1"/>
    <col min="2" max="2" width="19" customWidth="1"/>
    <col min="3" max="5" width="22" customWidth="1"/>
    <col min="6" max="6" width="17" customWidth="1"/>
    <col min="7" max="7" width="20" customWidth="1"/>
    <col min="8" max="8" width="18" customWidth="1"/>
    <col min="9" max="9" width="12" customWidth="1"/>
    <col min="10" max="18" width="20" customWidth="1"/>
    <col min="19" max="19" width="22" customWidth="1"/>
  </cols>
  <sheetData>
    <row r="1" spans="1:19" ht="18" x14ac:dyDescent="0.35">
      <c r="A1" s="22" t="s">
        <v>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x14ac:dyDescent="0.3">
      <c r="A2" s="20" t="s">
        <v>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x14ac:dyDescent="0.3">
      <c r="A3" s="23" t="s">
        <v>27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5" spans="1:19" ht="28.8" x14ac:dyDescent="0.3">
      <c r="A5" s="10" t="s">
        <v>28</v>
      </c>
      <c r="B5" s="10" t="s">
        <v>29</v>
      </c>
      <c r="C5" s="10" t="s">
        <v>30</v>
      </c>
      <c r="D5" s="10" t="s">
        <v>31</v>
      </c>
      <c r="E5" s="10" t="s">
        <v>4</v>
      </c>
      <c r="F5" s="10" t="s">
        <v>32</v>
      </c>
      <c r="G5" s="10" t="s">
        <v>33</v>
      </c>
      <c r="H5" s="10" t="s">
        <v>34</v>
      </c>
      <c r="I5" s="10" t="s">
        <v>35</v>
      </c>
      <c r="J5" s="10" t="s">
        <v>36</v>
      </c>
      <c r="K5" s="10" t="s">
        <v>37</v>
      </c>
      <c r="L5" s="10" t="s">
        <v>38</v>
      </c>
      <c r="M5" s="10" t="s">
        <v>39</v>
      </c>
      <c r="N5" s="10" t="s">
        <v>40</v>
      </c>
      <c r="O5" s="10" t="s">
        <v>41</v>
      </c>
      <c r="P5" s="10" t="s">
        <v>42</v>
      </c>
      <c r="Q5" s="10" t="s">
        <v>43</v>
      </c>
      <c r="R5" s="10" t="s">
        <v>44</v>
      </c>
      <c r="S5" s="10" t="s">
        <v>7</v>
      </c>
    </row>
    <row r="6" spans="1:19" x14ac:dyDescent="0.3">
      <c r="A6" s="3" t="s">
        <v>45</v>
      </c>
      <c r="B6" s="3" t="s">
        <v>46</v>
      </c>
      <c r="C6" s="11">
        <v>45658</v>
      </c>
      <c r="D6" s="3" t="s">
        <v>47</v>
      </c>
      <c r="E6" s="3">
        <v>1250</v>
      </c>
      <c r="F6" s="4">
        <v>10377.75</v>
      </c>
      <c r="G6" s="11">
        <v>45658</v>
      </c>
      <c r="H6" s="11">
        <v>45809</v>
      </c>
      <c r="I6" s="3">
        <v>6</v>
      </c>
      <c r="J6" s="4">
        <v>1729.625</v>
      </c>
      <c r="K6" s="4">
        <v>1729.625</v>
      </c>
      <c r="L6" s="4">
        <v>8648.125</v>
      </c>
      <c r="M6" s="4">
        <v>1729.625</v>
      </c>
      <c r="N6" s="4">
        <v>6918.5</v>
      </c>
      <c r="O6" s="4">
        <v>1729.625</v>
      </c>
      <c r="P6" s="4">
        <v>5188.875</v>
      </c>
      <c r="Q6" s="4">
        <v>1729.625</v>
      </c>
      <c r="R6" s="4">
        <v>3459.25</v>
      </c>
      <c r="S6" s="4">
        <v>3459.25</v>
      </c>
    </row>
    <row r="7" spans="1:19" x14ac:dyDescent="0.3">
      <c r="A7" s="3" t="s">
        <v>45</v>
      </c>
      <c r="B7" s="3" t="s">
        <v>48</v>
      </c>
      <c r="C7" s="11">
        <v>45658</v>
      </c>
      <c r="D7" s="3" t="s">
        <v>47</v>
      </c>
      <c r="E7" s="3">
        <v>1250</v>
      </c>
      <c r="F7" s="4">
        <v>402</v>
      </c>
      <c r="G7" s="11">
        <v>45658</v>
      </c>
      <c r="H7" s="11">
        <v>45809</v>
      </c>
      <c r="I7" s="3">
        <v>6</v>
      </c>
      <c r="J7" s="4">
        <v>67</v>
      </c>
      <c r="K7" s="4">
        <v>67</v>
      </c>
      <c r="L7" s="4">
        <v>335</v>
      </c>
      <c r="M7" s="4">
        <v>67</v>
      </c>
      <c r="N7" s="4">
        <v>268</v>
      </c>
      <c r="O7" s="4">
        <v>67</v>
      </c>
      <c r="P7" s="4">
        <v>201</v>
      </c>
      <c r="Q7" s="4">
        <v>67</v>
      </c>
      <c r="R7" s="4">
        <v>134</v>
      </c>
      <c r="S7" s="4">
        <v>134</v>
      </c>
    </row>
    <row r="8" spans="1:19" x14ac:dyDescent="0.3">
      <c r="A8" s="3" t="s">
        <v>49</v>
      </c>
      <c r="B8" s="3" t="s">
        <v>50</v>
      </c>
      <c r="C8" s="11">
        <v>45658</v>
      </c>
      <c r="D8" s="3" t="s">
        <v>47</v>
      </c>
      <c r="E8" s="3">
        <v>1250</v>
      </c>
      <c r="F8" s="4">
        <v>17302.38</v>
      </c>
      <c r="G8" s="11">
        <v>45658</v>
      </c>
      <c r="H8" s="11">
        <v>45809</v>
      </c>
      <c r="I8" s="3">
        <v>6</v>
      </c>
      <c r="J8" s="4">
        <v>2883.73</v>
      </c>
      <c r="K8" s="4">
        <v>2883.73</v>
      </c>
      <c r="L8" s="4">
        <v>14418.65</v>
      </c>
      <c r="M8" s="4">
        <v>2883.73</v>
      </c>
      <c r="N8" s="4">
        <v>11534.92</v>
      </c>
      <c r="O8" s="4">
        <v>2883.73</v>
      </c>
      <c r="P8" s="4">
        <v>8651.19</v>
      </c>
      <c r="Q8" s="4">
        <v>2883.73</v>
      </c>
      <c r="R8" s="4">
        <v>5767.4600000000009</v>
      </c>
      <c r="S8" s="4">
        <v>5767.4600000000009</v>
      </c>
    </row>
    <row r="9" spans="1:19" x14ac:dyDescent="0.3">
      <c r="A9" s="3" t="s">
        <v>51</v>
      </c>
      <c r="B9" s="3" t="s">
        <v>52</v>
      </c>
      <c r="C9" s="11">
        <v>45658</v>
      </c>
      <c r="D9" s="3" t="s">
        <v>47</v>
      </c>
      <c r="E9" s="3">
        <v>1250</v>
      </c>
      <c r="F9" s="4">
        <v>11250</v>
      </c>
      <c r="G9" s="11">
        <v>45658</v>
      </c>
      <c r="H9" s="11">
        <v>45809</v>
      </c>
      <c r="I9" s="3">
        <v>6</v>
      </c>
      <c r="J9" s="4">
        <v>1875</v>
      </c>
      <c r="K9" s="4">
        <v>1875</v>
      </c>
      <c r="L9" s="4">
        <v>9375</v>
      </c>
      <c r="M9" s="4">
        <v>1875</v>
      </c>
      <c r="N9" s="4">
        <v>7500</v>
      </c>
      <c r="O9" s="4">
        <v>1875</v>
      </c>
      <c r="P9" s="4">
        <v>5625</v>
      </c>
      <c r="Q9" s="4">
        <v>1875</v>
      </c>
      <c r="R9" s="4">
        <v>3750</v>
      </c>
      <c r="S9" s="4">
        <v>3750</v>
      </c>
    </row>
    <row r="10" spans="1:19" x14ac:dyDescent="0.3">
      <c r="A10" s="3" t="s">
        <v>53</v>
      </c>
      <c r="B10" s="3" t="s">
        <v>54</v>
      </c>
      <c r="C10" s="11">
        <v>45658</v>
      </c>
      <c r="D10" s="3" t="s">
        <v>47</v>
      </c>
      <c r="E10" s="3">
        <v>1250</v>
      </c>
      <c r="F10" s="4">
        <v>46629.17</v>
      </c>
      <c r="G10" s="11">
        <v>45658</v>
      </c>
      <c r="H10" s="11">
        <v>45809</v>
      </c>
      <c r="I10" s="3">
        <v>6</v>
      </c>
      <c r="J10" s="4">
        <v>7771.5283333333327</v>
      </c>
      <c r="K10" s="4">
        <v>7771.5283333333327</v>
      </c>
      <c r="L10" s="4">
        <v>38857.641666666663</v>
      </c>
      <c r="M10" s="4">
        <v>7771.5283333333327</v>
      </c>
      <c r="N10" s="4">
        <v>31086.113333333331</v>
      </c>
      <c r="O10" s="4">
        <v>7771.5283333333327</v>
      </c>
      <c r="P10" s="4">
        <v>23314.584999999999</v>
      </c>
      <c r="Q10" s="4">
        <v>7771.5283333333327</v>
      </c>
      <c r="R10" s="4">
        <v>15543.056666666669</v>
      </c>
      <c r="S10" s="4">
        <v>15543.056666666669</v>
      </c>
    </row>
    <row r="11" spans="1:19" x14ac:dyDescent="0.3">
      <c r="A11" s="3" t="s">
        <v>53</v>
      </c>
      <c r="B11" s="3" t="s">
        <v>55</v>
      </c>
      <c r="C11" s="11">
        <v>45658</v>
      </c>
      <c r="D11" s="3" t="s">
        <v>47</v>
      </c>
      <c r="E11" s="3">
        <v>1250</v>
      </c>
      <c r="F11" s="4">
        <v>31146.78</v>
      </c>
      <c r="G11" s="11">
        <v>45658</v>
      </c>
      <c r="H11" s="11">
        <v>45809</v>
      </c>
      <c r="I11" s="3">
        <v>6</v>
      </c>
      <c r="J11" s="4">
        <v>5191.13</v>
      </c>
      <c r="K11" s="4">
        <v>5191.13</v>
      </c>
      <c r="L11" s="4">
        <v>25955.65</v>
      </c>
      <c r="M11" s="4">
        <v>5191.13</v>
      </c>
      <c r="N11" s="4">
        <v>20764.52</v>
      </c>
      <c r="O11" s="4">
        <v>5191.13</v>
      </c>
      <c r="P11" s="4">
        <v>15573.39</v>
      </c>
      <c r="Q11" s="4">
        <v>5191.13</v>
      </c>
      <c r="R11" s="4">
        <v>10382.26</v>
      </c>
      <c r="S11" s="4">
        <v>10382.26</v>
      </c>
    </row>
    <row r="12" spans="1:19" x14ac:dyDescent="0.3">
      <c r="A12" s="3" t="s">
        <v>53</v>
      </c>
      <c r="B12" s="3" t="s">
        <v>56</v>
      </c>
      <c r="C12" s="11">
        <v>45658</v>
      </c>
      <c r="D12" s="3" t="s">
        <v>47</v>
      </c>
      <c r="E12" s="3">
        <v>1250</v>
      </c>
      <c r="F12" s="4">
        <v>11969.99</v>
      </c>
      <c r="G12" s="11">
        <v>45658</v>
      </c>
      <c r="H12" s="11">
        <v>45809</v>
      </c>
      <c r="I12" s="3">
        <v>6</v>
      </c>
      <c r="J12" s="4">
        <v>1994.998333333333</v>
      </c>
      <c r="K12" s="4">
        <v>1994.998333333333</v>
      </c>
      <c r="L12" s="4">
        <v>9974.9916666666668</v>
      </c>
      <c r="M12" s="4">
        <v>1994.998333333333</v>
      </c>
      <c r="N12" s="4">
        <v>7979.9933333333338</v>
      </c>
      <c r="O12" s="4">
        <v>1994.998333333333</v>
      </c>
      <c r="P12" s="4">
        <v>5984.9949999999999</v>
      </c>
      <c r="Q12" s="4">
        <v>1994.998333333333</v>
      </c>
      <c r="R12" s="4">
        <v>3989.9966666666669</v>
      </c>
      <c r="S12" s="4">
        <v>3989.9966666666669</v>
      </c>
    </row>
    <row r="13" spans="1:19" x14ac:dyDescent="0.3">
      <c r="A13" s="3" t="s">
        <v>53</v>
      </c>
      <c r="B13" s="3" t="s">
        <v>57</v>
      </c>
      <c r="C13" s="11">
        <v>45658</v>
      </c>
      <c r="D13" s="3" t="s">
        <v>47</v>
      </c>
      <c r="E13" s="3">
        <v>1250</v>
      </c>
      <c r="F13" s="4">
        <v>1156.73</v>
      </c>
      <c r="G13" s="11">
        <v>45658</v>
      </c>
      <c r="H13" s="11">
        <v>45809</v>
      </c>
      <c r="I13" s="3">
        <v>6</v>
      </c>
      <c r="J13" s="4">
        <v>192.7883333333333</v>
      </c>
      <c r="K13" s="4">
        <v>192.7883333333333</v>
      </c>
      <c r="L13" s="4">
        <v>963.94166666666672</v>
      </c>
      <c r="M13" s="4">
        <v>192.7883333333333</v>
      </c>
      <c r="N13" s="4">
        <v>771.15333333333342</v>
      </c>
      <c r="O13" s="4">
        <v>192.7883333333333</v>
      </c>
      <c r="P13" s="4">
        <v>578.36500000000001</v>
      </c>
      <c r="Q13" s="4">
        <v>192.7883333333333</v>
      </c>
      <c r="R13" s="4">
        <v>385.57666666666671</v>
      </c>
      <c r="S13" s="4">
        <v>385.57666666666671</v>
      </c>
    </row>
    <row r="14" spans="1:19" x14ac:dyDescent="0.3">
      <c r="A14" s="3" t="s">
        <v>53</v>
      </c>
      <c r="B14" s="3" t="s">
        <v>58</v>
      </c>
      <c r="C14" s="11">
        <v>45658</v>
      </c>
      <c r="D14" s="3" t="s">
        <v>47</v>
      </c>
      <c r="E14" s="3">
        <v>1250</v>
      </c>
      <c r="F14" s="4">
        <v>6486.77</v>
      </c>
      <c r="G14" s="11">
        <v>45658</v>
      </c>
      <c r="H14" s="11">
        <v>45809</v>
      </c>
      <c r="I14" s="3">
        <v>6</v>
      </c>
      <c r="J14" s="4">
        <v>1081.1283333333331</v>
      </c>
      <c r="K14" s="4">
        <v>1081.1283333333331</v>
      </c>
      <c r="L14" s="4">
        <v>5405.6416666666673</v>
      </c>
      <c r="M14" s="4">
        <v>1081.1283333333331</v>
      </c>
      <c r="N14" s="4">
        <v>4324.5133333333342</v>
      </c>
      <c r="O14" s="4">
        <v>1081.1283333333331</v>
      </c>
      <c r="P14" s="4">
        <v>3243.3850000000002</v>
      </c>
      <c r="Q14" s="4">
        <v>1081.1283333333331</v>
      </c>
      <c r="R14" s="4">
        <v>2162.2566666666671</v>
      </c>
      <c r="S14" s="4">
        <v>2162.2566666666671</v>
      </c>
    </row>
    <row r="15" spans="1:19" x14ac:dyDescent="0.3">
      <c r="A15" s="3" t="s">
        <v>53</v>
      </c>
      <c r="B15" s="3" t="s">
        <v>59</v>
      </c>
      <c r="C15" s="11">
        <v>45689</v>
      </c>
      <c r="D15" s="3" t="s">
        <v>47</v>
      </c>
      <c r="E15" s="3">
        <v>1250</v>
      </c>
      <c r="F15" s="4">
        <v>3968.47</v>
      </c>
      <c r="G15" s="11">
        <v>45689</v>
      </c>
      <c r="H15" s="11">
        <v>45839</v>
      </c>
      <c r="I15" s="3">
        <v>6</v>
      </c>
      <c r="J15" s="4">
        <v>661.41166666666663</v>
      </c>
      <c r="K15" s="4">
        <v>0</v>
      </c>
      <c r="L15" s="4"/>
      <c r="M15" s="4">
        <v>661.41166666666663</v>
      </c>
      <c r="N15" s="4">
        <v>3307.0583333333329</v>
      </c>
      <c r="O15" s="4">
        <v>661.41166666666663</v>
      </c>
      <c r="P15" s="4">
        <v>2645.646666666667</v>
      </c>
      <c r="Q15" s="4">
        <v>661.41166666666663</v>
      </c>
      <c r="R15" s="4">
        <v>1984.2349999999999</v>
      </c>
      <c r="S15" s="4">
        <v>1984.2349999999999</v>
      </c>
    </row>
    <row r="16" spans="1:19" x14ac:dyDescent="0.3">
      <c r="A16" s="3" t="s">
        <v>53</v>
      </c>
      <c r="B16" s="3" t="s">
        <v>60</v>
      </c>
      <c r="C16" s="11">
        <v>45717</v>
      </c>
      <c r="D16" s="3" t="s">
        <v>47</v>
      </c>
      <c r="E16" s="3">
        <v>1250</v>
      </c>
      <c r="F16" s="4">
        <v>54323.43</v>
      </c>
      <c r="G16" s="11">
        <v>45717</v>
      </c>
      <c r="H16" s="11">
        <v>45870</v>
      </c>
      <c r="I16" s="3">
        <v>6</v>
      </c>
      <c r="J16" s="4">
        <v>9053.9050000000007</v>
      </c>
      <c r="K16" s="4">
        <v>0</v>
      </c>
      <c r="L16" s="4"/>
      <c r="M16" s="4">
        <v>0</v>
      </c>
      <c r="N16" s="4"/>
      <c r="O16" s="4">
        <v>9053.9050000000007</v>
      </c>
      <c r="P16" s="4">
        <v>45269.525000000001</v>
      </c>
      <c r="Q16" s="4">
        <v>9053.9050000000007</v>
      </c>
      <c r="R16" s="4">
        <v>36215.620000000003</v>
      </c>
      <c r="S16" s="4">
        <v>36215.620000000003</v>
      </c>
    </row>
    <row r="17" spans="1:19" x14ac:dyDescent="0.3">
      <c r="A17" s="3" t="s">
        <v>53</v>
      </c>
      <c r="B17" s="3" t="s">
        <v>61</v>
      </c>
      <c r="C17" s="11">
        <v>45717</v>
      </c>
      <c r="D17" s="3" t="s">
        <v>47</v>
      </c>
      <c r="E17" s="3">
        <v>1250</v>
      </c>
      <c r="F17" s="4">
        <v>31092.5</v>
      </c>
      <c r="G17" s="11">
        <v>45717</v>
      </c>
      <c r="H17" s="11">
        <v>45870</v>
      </c>
      <c r="I17" s="3">
        <v>6</v>
      </c>
      <c r="J17" s="4">
        <v>5182.083333333333</v>
      </c>
      <c r="K17" s="4">
        <v>0</v>
      </c>
      <c r="L17" s="4"/>
      <c r="M17" s="4">
        <v>0</v>
      </c>
      <c r="N17" s="4"/>
      <c r="O17" s="4">
        <v>5182.083333333333</v>
      </c>
      <c r="P17" s="4">
        <v>25910.416666666672</v>
      </c>
      <c r="Q17" s="4">
        <v>5182.083333333333</v>
      </c>
      <c r="R17" s="4">
        <v>20728.333333333339</v>
      </c>
      <c r="S17" s="4">
        <v>20728.333333333339</v>
      </c>
    </row>
    <row r="18" spans="1:19" x14ac:dyDescent="0.3">
      <c r="A18" s="3" t="s">
        <v>62</v>
      </c>
      <c r="B18" s="3" t="s">
        <v>63</v>
      </c>
      <c r="C18" s="11">
        <v>45658</v>
      </c>
      <c r="D18" s="3" t="s">
        <v>47</v>
      </c>
      <c r="E18" s="3">
        <v>1250</v>
      </c>
      <c r="F18" s="4">
        <v>4900</v>
      </c>
      <c r="G18" s="11">
        <v>45658</v>
      </c>
      <c r="H18" s="11">
        <v>45809</v>
      </c>
      <c r="I18" s="3">
        <v>6</v>
      </c>
      <c r="J18" s="4">
        <v>816.66666666666663</v>
      </c>
      <c r="K18" s="4">
        <v>816.66666666666663</v>
      </c>
      <c r="L18" s="4">
        <v>4083.333333333333</v>
      </c>
      <c r="M18" s="4">
        <v>816.66666666666663</v>
      </c>
      <c r="N18" s="4">
        <v>3266.666666666667</v>
      </c>
      <c r="O18" s="4">
        <v>816.66666666666663</v>
      </c>
      <c r="P18" s="4">
        <v>2450</v>
      </c>
      <c r="Q18" s="4">
        <v>816.66666666666663</v>
      </c>
      <c r="R18" s="4">
        <v>1633.333333333333</v>
      </c>
      <c r="S18" s="4">
        <v>1633.333333333333</v>
      </c>
    </row>
    <row r="19" spans="1:19" x14ac:dyDescent="0.3">
      <c r="A19" s="3" t="s">
        <v>64</v>
      </c>
      <c r="B19" s="3" t="s">
        <v>65</v>
      </c>
      <c r="C19" s="11">
        <v>45658</v>
      </c>
      <c r="D19" s="3" t="s">
        <v>66</v>
      </c>
      <c r="E19" s="3">
        <v>1250</v>
      </c>
      <c r="F19" s="4">
        <v>28158</v>
      </c>
      <c r="G19" s="11">
        <v>45658</v>
      </c>
      <c r="H19" s="11">
        <v>45809</v>
      </c>
      <c r="I19" s="3">
        <v>6</v>
      </c>
      <c r="J19" s="4">
        <v>4693</v>
      </c>
      <c r="K19" s="4">
        <v>4693</v>
      </c>
      <c r="L19" s="4">
        <v>23465</v>
      </c>
      <c r="M19" s="4">
        <v>4693</v>
      </c>
      <c r="N19" s="4">
        <v>18772</v>
      </c>
      <c r="O19" s="4">
        <v>4693</v>
      </c>
      <c r="P19" s="4">
        <v>14079</v>
      </c>
      <c r="Q19" s="4">
        <v>4693</v>
      </c>
      <c r="R19" s="4">
        <v>9386</v>
      </c>
      <c r="S19" s="4">
        <v>9386</v>
      </c>
    </row>
    <row r="20" spans="1:19" x14ac:dyDescent="0.3">
      <c r="A20" s="3" t="s">
        <v>67</v>
      </c>
      <c r="B20" s="3" t="s">
        <v>68</v>
      </c>
      <c r="C20" s="11">
        <v>45717</v>
      </c>
      <c r="D20" s="3" t="s">
        <v>66</v>
      </c>
      <c r="E20" s="3">
        <v>1250</v>
      </c>
      <c r="F20" s="4">
        <v>53798.400000000001</v>
      </c>
      <c r="G20" s="11">
        <v>45717</v>
      </c>
      <c r="H20" s="11">
        <v>45870</v>
      </c>
      <c r="I20" s="3">
        <v>6</v>
      </c>
      <c r="J20" s="4">
        <v>8966.4</v>
      </c>
      <c r="K20" s="4">
        <v>0</v>
      </c>
      <c r="L20" s="4"/>
      <c r="M20" s="4">
        <v>0</v>
      </c>
      <c r="N20" s="4"/>
      <c r="O20" s="4">
        <v>8966.4</v>
      </c>
      <c r="P20" s="4">
        <v>44832</v>
      </c>
      <c r="Q20" s="4">
        <v>8966.4</v>
      </c>
      <c r="R20" s="4">
        <v>35865.600000000013</v>
      </c>
      <c r="S20" s="4">
        <v>35865.600000000013</v>
      </c>
    </row>
    <row r="21" spans="1:19" x14ac:dyDescent="0.3">
      <c r="A21" s="3" t="s">
        <v>69</v>
      </c>
      <c r="B21" s="3" t="s">
        <v>70</v>
      </c>
      <c r="C21" s="11">
        <v>45717</v>
      </c>
      <c r="D21" s="3" t="s">
        <v>66</v>
      </c>
      <c r="E21" s="3">
        <v>1250</v>
      </c>
      <c r="F21" s="4">
        <v>9225</v>
      </c>
      <c r="G21" s="11">
        <v>45717</v>
      </c>
      <c r="H21" s="11">
        <v>45870</v>
      </c>
      <c r="I21" s="3">
        <v>6</v>
      </c>
      <c r="J21" s="4">
        <v>1537.5</v>
      </c>
      <c r="K21" s="4">
        <v>0</v>
      </c>
      <c r="L21" s="4"/>
      <c r="M21" s="4">
        <v>0</v>
      </c>
      <c r="N21" s="4"/>
      <c r="O21" s="4">
        <v>1537.5</v>
      </c>
      <c r="P21" s="4">
        <v>7687.5</v>
      </c>
      <c r="Q21" s="4">
        <v>1537.5</v>
      </c>
      <c r="R21" s="4">
        <v>6150</v>
      </c>
      <c r="S21" s="4">
        <v>6150</v>
      </c>
    </row>
    <row r="22" spans="1:19" x14ac:dyDescent="0.3">
      <c r="A22" s="3" t="s">
        <v>69</v>
      </c>
      <c r="B22" s="3" t="s">
        <v>71</v>
      </c>
      <c r="C22" s="11">
        <v>45717</v>
      </c>
      <c r="D22" s="3" t="s">
        <v>66</v>
      </c>
      <c r="E22" s="3">
        <v>1250</v>
      </c>
      <c r="F22" s="4">
        <v>9225</v>
      </c>
      <c r="G22" s="11">
        <v>45717</v>
      </c>
      <c r="H22" s="11">
        <v>45870</v>
      </c>
      <c r="I22" s="3">
        <v>6</v>
      </c>
      <c r="J22" s="4">
        <v>1537.5</v>
      </c>
      <c r="K22" s="4">
        <v>0</v>
      </c>
      <c r="L22" s="4"/>
      <c r="M22" s="4">
        <v>0</v>
      </c>
      <c r="N22" s="4"/>
      <c r="O22" s="4">
        <v>1537.5</v>
      </c>
      <c r="P22" s="4">
        <v>7687.5</v>
      </c>
      <c r="Q22" s="4">
        <v>1537.5</v>
      </c>
      <c r="R22" s="4">
        <v>6150</v>
      </c>
      <c r="S22" s="4">
        <v>6150</v>
      </c>
    </row>
    <row r="23" spans="1:19" x14ac:dyDescent="0.3">
      <c r="A23" s="3" t="s">
        <v>69</v>
      </c>
      <c r="B23" s="3" t="s">
        <v>72</v>
      </c>
      <c r="C23" s="11">
        <v>45717</v>
      </c>
      <c r="D23" s="3" t="s">
        <v>66</v>
      </c>
      <c r="E23" s="3">
        <v>1250</v>
      </c>
      <c r="F23" s="4">
        <v>9225</v>
      </c>
      <c r="G23" s="11">
        <v>45717</v>
      </c>
      <c r="H23" s="11">
        <v>45870</v>
      </c>
      <c r="I23" s="3">
        <v>6</v>
      </c>
      <c r="J23" s="4">
        <v>1537.5</v>
      </c>
      <c r="K23" s="4">
        <v>0</v>
      </c>
      <c r="L23" s="4"/>
      <c r="M23" s="4">
        <v>0</v>
      </c>
      <c r="N23" s="4"/>
      <c r="O23" s="4">
        <v>1537.5</v>
      </c>
      <c r="P23" s="4">
        <v>7687.5</v>
      </c>
      <c r="Q23" s="4">
        <v>1537.5</v>
      </c>
      <c r="R23" s="4">
        <v>6150</v>
      </c>
      <c r="S23" s="4">
        <v>6150</v>
      </c>
    </row>
    <row r="24" spans="1:19" x14ac:dyDescent="0.3">
      <c r="A24" s="3" t="s">
        <v>73</v>
      </c>
      <c r="B24" s="3" t="s">
        <v>74</v>
      </c>
      <c r="C24" s="11">
        <v>45689</v>
      </c>
      <c r="D24" s="3" t="s">
        <v>66</v>
      </c>
      <c r="E24" s="3">
        <v>1250</v>
      </c>
      <c r="F24" s="4">
        <v>9861.82</v>
      </c>
      <c r="G24" s="11">
        <v>45689</v>
      </c>
      <c r="H24" s="11">
        <v>45839</v>
      </c>
      <c r="I24" s="3">
        <v>6</v>
      </c>
      <c r="J24" s="4">
        <v>1643.636666666667</v>
      </c>
      <c r="K24" s="4">
        <v>0</v>
      </c>
      <c r="L24" s="4"/>
      <c r="M24" s="4">
        <v>1643.636666666667</v>
      </c>
      <c r="N24" s="4">
        <v>8218.1833333333325</v>
      </c>
      <c r="O24" s="4">
        <v>1643.636666666667</v>
      </c>
      <c r="P24" s="4">
        <v>6574.5466666666671</v>
      </c>
      <c r="Q24" s="4">
        <v>1643.636666666667</v>
      </c>
      <c r="R24" s="4">
        <v>4930.91</v>
      </c>
      <c r="S24" s="4">
        <v>4930.91</v>
      </c>
    </row>
    <row r="25" spans="1:19" x14ac:dyDescent="0.3">
      <c r="A25" s="3" t="s">
        <v>75</v>
      </c>
      <c r="B25" s="3" t="s">
        <v>76</v>
      </c>
      <c r="C25" s="11">
        <v>45748</v>
      </c>
      <c r="D25" s="3" t="s">
        <v>77</v>
      </c>
      <c r="E25" s="3">
        <v>1250</v>
      </c>
      <c r="F25" s="4">
        <v>81000</v>
      </c>
      <c r="G25" s="11">
        <v>45748</v>
      </c>
      <c r="H25" s="11">
        <v>45901</v>
      </c>
      <c r="I25" s="3">
        <v>6</v>
      </c>
      <c r="J25" s="4">
        <v>13500</v>
      </c>
      <c r="K25" s="4">
        <v>0</v>
      </c>
      <c r="L25" s="4"/>
      <c r="M25" s="4">
        <v>0</v>
      </c>
      <c r="N25" s="4"/>
      <c r="O25" s="4">
        <v>0</v>
      </c>
      <c r="P25" s="4"/>
      <c r="Q25" s="4">
        <v>13500</v>
      </c>
      <c r="R25" s="4">
        <v>67500</v>
      </c>
      <c r="S25" s="4">
        <v>67500</v>
      </c>
    </row>
    <row r="26" spans="1:19" x14ac:dyDescent="0.3">
      <c r="A26" s="3" t="s">
        <v>78</v>
      </c>
      <c r="B26" s="3" t="s">
        <v>79</v>
      </c>
      <c r="C26" s="11">
        <v>45748</v>
      </c>
      <c r="D26" s="3" t="s">
        <v>66</v>
      </c>
      <c r="E26" s="3">
        <v>1250</v>
      </c>
      <c r="F26" s="4">
        <v>31792</v>
      </c>
      <c r="G26" s="11">
        <v>45748</v>
      </c>
      <c r="H26" s="11">
        <v>45901</v>
      </c>
      <c r="I26" s="3">
        <v>6</v>
      </c>
      <c r="J26" s="4">
        <v>5298.666666666667</v>
      </c>
      <c r="K26" s="4">
        <v>0</v>
      </c>
      <c r="L26" s="4"/>
      <c r="M26" s="4">
        <v>0</v>
      </c>
      <c r="N26" s="4"/>
      <c r="O26" s="4">
        <v>0</v>
      </c>
      <c r="P26" s="4"/>
      <c r="Q26" s="4">
        <v>5298.666666666667</v>
      </c>
      <c r="R26" s="4">
        <v>26493.333333333328</v>
      </c>
      <c r="S26" s="4">
        <v>26493.333333333328</v>
      </c>
    </row>
    <row r="27" spans="1:19" x14ac:dyDescent="0.3">
      <c r="A27" s="3" t="s">
        <v>78</v>
      </c>
      <c r="B27" s="3" t="s">
        <v>80</v>
      </c>
      <c r="C27" s="11">
        <v>45748</v>
      </c>
      <c r="D27" s="3" t="s">
        <v>66</v>
      </c>
      <c r="E27" s="3">
        <v>1250</v>
      </c>
      <c r="F27" s="4">
        <v>10000</v>
      </c>
      <c r="G27" s="11">
        <v>45748</v>
      </c>
      <c r="H27" s="11">
        <v>45901</v>
      </c>
      <c r="I27" s="3">
        <v>6</v>
      </c>
      <c r="J27" s="4">
        <v>1666.666666666667</v>
      </c>
      <c r="K27" s="4">
        <v>0</v>
      </c>
      <c r="L27" s="4"/>
      <c r="M27" s="4">
        <v>0</v>
      </c>
      <c r="N27" s="4"/>
      <c r="O27" s="4">
        <v>0</v>
      </c>
      <c r="P27" s="4"/>
      <c r="Q27" s="4">
        <v>1666.666666666667</v>
      </c>
      <c r="R27" s="4">
        <v>8333.3333333333339</v>
      </c>
      <c r="S27" s="4">
        <v>8333.3333333333339</v>
      </c>
    </row>
    <row r="28" spans="1:19" x14ac:dyDescent="0.3">
      <c r="A28" s="3" t="s">
        <v>81</v>
      </c>
      <c r="B28" s="3" t="s">
        <v>82</v>
      </c>
      <c r="C28" s="11">
        <v>45658</v>
      </c>
      <c r="D28" s="3" t="s">
        <v>47</v>
      </c>
      <c r="E28" s="3">
        <v>1250</v>
      </c>
      <c r="F28" s="4">
        <v>2833.33</v>
      </c>
      <c r="G28" s="11">
        <v>45658</v>
      </c>
      <c r="H28" s="11">
        <v>45809</v>
      </c>
      <c r="I28" s="3">
        <v>6</v>
      </c>
      <c r="J28" s="4">
        <v>472.22166666666658</v>
      </c>
      <c r="K28" s="4">
        <v>472.22166666666658</v>
      </c>
      <c r="L28" s="4">
        <v>2361.1083333333331</v>
      </c>
      <c r="M28" s="4">
        <v>472.22166666666658</v>
      </c>
      <c r="N28" s="4">
        <v>1888.886666666667</v>
      </c>
      <c r="O28" s="4">
        <v>472.22166666666658</v>
      </c>
      <c r="P28" s="4">
        <v>1416.665</v>
      </c>
      <c r="Q28" s="4">
        <v>472.22166666666658</v>
      </c>
      <c r="R28" s="4">
        <v>944.44333333333338</v>
      </c>
      <c r="S28" s="4">
        <v>944.44333333333338</v>
      </c>
    </row>
    <row r="29" spans="1:19" x14ac:dyDescent="0.3">
      <c r="A29" s="3" t="s">
        <v>83</v>
      </c>
      <c r="B29" s="3" t="s">
        <v>84</v>
      </c>
      <c r="C29" s="11">
        <v>45658</v>
      </c>
      <c r="D29" s="3" t="s">
        <v>66</v>
      </c>
      <c r="E29" s="3">
        <v>1250</v>
      </c>
      <c r="F29" s="4">
        <v>275000</v>
      </c>
      <c r="G29" s="11">
        <v>45658</v>
      </c>
      <c r="H29" s="11">
        <v>45809</v>
      </c>
      <c r="I29" s="3">
        <v>6</v>
      </c>
      <c r="J29" s="4">
        <v>45833.333333333343</v>
      </c>
      <c r="K29" s="4">
        <v>45833.333333333343</v>
      </c>
      <c r="L29" s="4">
        <v>229166.66666666669</v>
      </c>
      <c r="M29" s="4">
        <v>45833.333333333343</v>
      </c>
      <c r="N29" s="4">
        <v>183333.33333333331</v>
      </c>
      <c r="O29" s="4">
        <v>45833.333333333343</v>
      </c>
      <c r="P29" s="4">
        <v>137500</v>
      </c>
      <c r="Q29" s="4">
        <v>45833.333333333343</v>
      </c>
      <c r="R29" s="4">
        <v>91666.666666666657</v>
      </c>
      <c r="S29" s="4">
        <v>91666.666666666657</v>
      </c>
    </row>
    <row r="30" spans="1:19" x14ac:dyDescent="0.3">
      <c r="A30" s="3" t="s">
        <v>83</v>
      </c>
      <c r="B30" s="3" t="s">
        <v>85</v>
      </c>
      <c r="C30" s="11">
        <v>45658</v>
      </c>
      <c r="D30" s="3" t="s">
        <v>66</v>
      </c>
      <c r="E30" s="3">
        <v>1250</v>
      </c>
      <c r="F30" s="4">
        <v>29404.1</v>
      </c>
      <c r="G30" s="11">
        <v>45658</v>
      </c>
      <c r="H30" s="11">
        <v>45809</v>
      </c>
      <c r="I30" s="3">
        <v>6</v>
      </c>
      <c r="J30" s="4">
        <v>4900.6833333333334</v>
      </c>
      <c r="K30" s="4">
        <v>4900.6833333333334</v>
      </c>
      <c r="L30" s="4">
        <v>24503.416666666661</v>
      </c>
      <c r="M30" s="4">
        <v>4900.6833333333334</v>
      </c>
      <c r="N30" s="4">
        <v>19602.73333333333</v>
      </c>
      <c r="O30" s="4">
        <v>4900.6833333333334</v>
      </c>
      <c r="P30" s="4">
        <v>14702.05</v>
      </c>
      <c r="Q30" s="4">
        <v>4900.6833333333334</v>
      </c>
      <c r="R30" s="4">
        <v>9801.366666666665</v>
      </c>
      <c r="S30" s="4">
        <v>9801.366666666665</v>
      </c>
    </row>
    <row r="31" spans="1:19" x14ac:dyDescent="0.3">
      <c r="A31" s="3" t="s">
        <v>86</v>
      </c>
      <c r="B31" s="3" t="s">
        <v>87</v>
      </c>
      <c r="C31" s="11">
        <v>45748</v>
      </c>
      <c r="D31" s="3" t="s">
        <v>47</v>
      </c>
      <c r="E31" s="3">
        <v>1250</v>
      </c>
      <c r="F31" s="4">
        <v>19601.98</v>
      </c>
      <c r="G31" s="11">
        <v>45748</v>
      </c>
      <c r="H31" s="11">
        <v>45901</v>
      </c>
      <c r="I31" s="3">
        <v>6</v>
      </c>
      <c r="J31" s="4">
        <v>3266.996666666666</v>
      </c>
      <c r="K31" s="4">
        <v>0</v>
      </c>
      <c r="L31" s="4"/>
      <c r="M31" s="4">
        <v>0</v>
      </c>
      <c r="N31" s="4"/>
      <c r="O31" s="4">
        <v>0</v>
      </c>
      <c r="P31" s="4"/>
      <c r="Q31" s="4">
        <v>3266.996666666666</v>
      </c>
      <c r="R31" s="4">
        <v>16334.98333333333</v>
      </c>
      <c r="S31" s="4">
        <v>16334.98333333333</v>
      </c>
    </row>
    <row r="32" spans="1:19" x14ac:dyDescent="0.3">
      <c r="A32" s="3" t="s">
        <v>88</v>
      </c>
      <c r="B32" s="3" t="s">
        <v>89</v>
      </c>
      <c r="C32" s="11">
        <v>45717</v>
      </c>
      <c r="D32" s="3" t="s">
        <v>47</v>
      </c>
      <c r="E32" s="3">
        <v>1250</v>
      </c>
      <c r="F32" s="4">
        <v>16800</v>
      </c>
      <c r="G32" s="11">
        <v>45717</v>
      </c>
      <c r="H32" s="11">
        <v>45870</v>
      </c>
      <c r="I32" s="3">
        <v>6</v>
      </c>
      <c r="J32" s="4">
        <v>2800</v>
      </c>
      <c r="K32" s="4">
        <v>0</v>
      </c>
      <c r="L32" s="4"/>
      <c r="M32" s="4">
        <v>0</v>
      </c>
      <c r="N32" s="4"/>
      <c r="O32" s="4">
        <v>2800</v>
      </c>
      <c r="P32" s="4">
        <v>14000</v>
      </c>
      <c r="Q32" s="4">
        <v>2800</v>
      </c>
      <c r="R32" s="4">
        <v>11200</v>
      </c>
      <c r="S32" s="4">
        <v>11200</v>
      </c>
    </row>
    <row r="33" spans="1:19" x14ac:dyDescent="0.3">
      <c r="A33" s="3" t="s">
        <v>90</v>
      </c>
      <c r="B33" s="3" t="s">
        <v>91</v>
      </c>
      <c r="C33" s="11">
        <v>45658</v>
      </c>
      <c r="D33" s="3" t="s">
        <v>47</v>
      </c>
      <c r="E33" s="3">
        <v>1250</v>
      </c>
      <c r="F33" s="4">
        <v>26276</v>
      </c>
      <c r="G33" s="11">
        <v>45658</v>
      </c>
      <c r="H33" s="11">
        <v>45809</v>
      </c>
      <c r="I33" s="3">
        <v>6</v>
      </c>
      <c r="J33" s="4">
        <v>4379.333333333333</v>
      </c>
      <c r="K33" s="4">
        <v>4379.333333333333</v>
      </c>
      <c r="L33" s="4">
        <v>21896.666666666672</v>
      </c>
      <c r="M33" s="4">
        <v>4379.333333333333</v>
      </c>
      <c r="N33" s="4">
        <v>17517.333333333339</v>
      </c>
      <c r="O33" s="4">
        <v>4379.333333333333</v>
      </c>
      <c r="P33" s="4">
        <v>13138</v>
      </c>
      <c r="Q33" s="4">
        <v>4379.333333333333</v>
      </c>
      <c r="R33" s="4">
        <v>8758.6666666666679</v>
      </c>
      <c r="S33" s="4">
        <v>8758.6666666666679</v>
      </c>
    </row>
    <row r="34" spans="1:19" x14ac:dyDescent="0.3">
      <c r="A34" s="3" t="s">
        <v>92</v>
      </c>
      <c r="B34" s="3" t="s">
        <v>93</v>
      </c>
      <c r="C34" s="11">
        <v>45658</v>
      </c>
      <c r="D34" s="3" t="s">
        <v>47</v>
      </c>
      <c r="E34" s="3">
        <v>1250</v>
      </c>
      <c r="F34" s="4">
        <v>2725.53</v>
      </c>
      <c r="G34" s="11">
        <v>45658</v>
      </c>
      <c r="H34" s="11">
        <v>45809</v>
      </c>
      <c r="I34" s="3">
        <v>6</v>
      </c>
      <c r="J34" s="4">
        <v>454.25500000000011</v>
      </c>
      <c r="K34" s="4">
        <v>454.25500000000011</v>
      </c>
      <c r="L34" s="4">
        <v>2271.2750000000001</v>
      </c>
      <c r="M34" s="4">
        <v>454.25500000000011</v>
      </c>
      <c r="N34" s="4">
        <v>1817.02</v>
      </c>
      <c r="O34" s="4">
        <v>454.25500000000011</v>
      </c>
      <c r="P34" s="4">
        <v>1362.7650000000001</v>
      </c>
      <c r="Q34" s="4">
        <v>454.25500000000011</v>
      </c>
      <c r="R34" s="4">
        <v>908.51</v>
      </c>
      <c r="S34" s="4">
        <v>908.51</v>
      </c>
    </row>
    <row r="35" spans="1:19" x14ac:dyDescent="0.3">
      <c r="A35" s="3" t="s">
        <v>94</v>
      </c>
      <c r="B35" s="3" t="s">
        <v>95</v>
      </c>
      <c r="C35" s="11">
        <v>45658</v>
      </c>
      <c r="D35" s="3" t="s">
        <v>47</v>
      </c>
      <c r="E35" s="3">
        <v>1250</v>
      </c>
      <c r="F35" s="4">
        <v>859</v>
      </c>
      <c r="G35" s="11">
        <v>45658</v>
      </c>
      <c r="H35" s="11">
        <v>45809</v>
      </c>
      <c r="I35" s="3">
        <v>6</v>
      </c>
      <c r="J35" s="4">
        <v>143.16666666666671</v>
      </c>
      <c r="K35" s="4">
        <v>143.16666666666671</v>
      </c>
      <c r="L35" s="4">
        <v>715.83333333333337</v>
      </c>
      <c r="M35" s="4">
        <v>143.16666666666671</v>
      </c>
      <c r="N35" s="4">
        <v>572.66666666666674</v>
      </c>
      <c r="O35" s="4">
        <v>143.16666666666671</v>
      </c>
      <c r="P35" s="4">
        <v>429.5</v>
      </c>
      <c r="Q35" s="4">
        <v>143.16666666666671</v>
      </c>
      <c r="R35" s="4">
        <v>286.33333333333343</v>
      </c>
      <c r="S35" s="4">
        <v>286.33333333333343</v>
      </c>
    </row>
    <row r="36" spans="1:19" x14ac:dyDescent="0.3">
      <c r="A36" s="3" t="s">
        <v>96</v>
      </c>
      <c r="B36" s="3" t="s">
        <v>97</v>
      </c>
      <c r="C36" s="11">
        <v>45658</v>
      </c>
      <c r="D36" s="3" t="s">
        <v>47</v>
      </c>
      <c r="E36" s="3">
        <v>1250</v>
      </c>
      <c r="F36" s="4">
        <v>5000</v>
      </c>
      <c r="G36" s="11">
        <v>45658</v>
      </c>
      <c r="H36" s="11">
        <v>45809</v>
      </c>
      <c r="I36" s="3">
        <v>6</v>
      </c>
      <c r="J36" s="4">
        <v>833.33333333333337</v>
      </c>
      <c r="K36" s="4">
        <v>833.33333333333337</v>
      </c>
      <c r="L36" s="4">
        <v>4166.666666666667</v>
      </c>
      <c r="M36" s="4">
        <v>833.33333333333337</v>
      </c>
      <c r="N36" s="4">
        <v>3333.333333333333</v>
      </c>
      <c r="O36" s="4">
        <v>833.33333333333337</v>
      </c>
      <c r="P36" s="4">
        <v>2500</v>
      </c>
      <c r="Q36" s="4">
        <v>833.33333333333337</v>
      </c>
      <c r="R36" s="4">
        <v>1666.666666666667</v>
      </c>
      <c r="S36" s="4">
        <v>1666.666666666667</v>
      </c>
    </row>
    <row r="37" spans="1:19" x14ac:dyDescent="0.3">
      <c r="A37" s="3" t="s">
        <v>98</v>
      </c>
      <c r="B37" s="3" t="s">
        <v>99</v>
      </c>
      <c r="C37" s="11">
        <v>45658</v>
      </c>
      <c r="D37" s="3" t="s">
        <v>100</v>
      </c>
      <c r="E37" s="3">
        <v>1250</v>
      </c>
      <c r="F37" s="4">
        <v>451.73</v>
      </c>
      <c r="G37" s="11">
        <v>45658</v>
      </c>
      <c r="H37" s="11">
        <v>45809</v>
      </c>
      <c r="I37" s="3">
        <v>6</v>
      </c>
      <c r="J37" s="4">
        <v>75.288333333333341</v>
      </c>
      <c r="K37" s="4">
        <v>75.288333333333341</v>
      </c>
      <c r="L37" s="4">
        <v>376.44166666666672</v>
      </c>
      <c r="M37" s="4">
        <v>75.288333333333341</v>
      </c>
      <c r="N37" s="4">
        <v>301.15333333333331</v>
      </c>
      <c r="O37" s="4">
        <v>75.288333333333341</v>
      </c>
      <c r="P37" s="4">
        <v>225.86500000000001</v>
      </c>
      <c r="Q37" s="4">
        <v>75.288333333333341</v>
      </c>
      <c r="R37" s="4">
        <v>150.57666666666671</v>
      </c>
      <c r="S37" s="4">
        <v>150.57666666666671</v>
      </c>
    </row>
    <row r="38" spans="1:19" x14ac:dyDescent="0.3">
      <c r="A38" s="3" t="s">
        <v>98</v>
      </c>
      <c r="B38" s="3" t="s">
        <v>101</v>
      </c>
      <c r="C38" s="11">
        <v>45658</v>
      </c>
      <c r="D38" s="3" t="s">
        <v>100</v>
      </c>
      <c r="E38" s="3">
        <v>1250</v>
      </c>
      <c r="F38" s="4">
        <v>1537.5</v>
      </c>
      <c r="G38" s="11">
        <v>45658</v>
      </c>
      <c r="H38" s="11">
        <v>45809</v>
      </c>
      <c r="I38" s="3">
        <v>6</v>
      </c>
      <c r="J38" s="4">
        <v>256.25</v>
      </c>
      <c r="K38" s="4">
        <v>256.25</v>
      </c>
      <c r="L38" s="4">
        <v>1281.25</v>
      </c>
      <c r="M38" s="4">
        <v>256.25</v>
      </c>
      <c r="N38" s="4">
        <v>1025</v>
      </c>
      <c r="O38" s="4">
        <v>256.25</v>
      </c>
      <c r="P38" s="4">
        <v>768.75</v>
      </c>
      <c r="Q38" s="4">
        <v>256.25</v>
      </c>
      <c r="R38" s="4">
        <v>512.5</v>
      </c>
      <c r="S38" s="4">
        <v>512.5</v>
      </c>
    </row>
    <row r="39" spans="1:19" x14ac:dyDescent="0.3">
      <c r="A39" s="3" t="s">
        <v>98</v>
      </c>
      <c r="B39" s="3" t="s">
        <v>102</v>
      </c>
      <c r="C39" s="11">
        <v>45658</v>
      </c>
      <c r="D39" s="3" t="s">
        <v>100</v>
      </c>
      <c r="E39" s="3">
        <v>1250</v>
      </c>
      <c r="F39" s="4">
        <v>3351.25</v>
      </c>
      <c r="G39" s="11">
        <v>45658</v>
      </c>
      <c r="H39" s="11">
        <v>45809</v>
      </c>
      <c r="I39" s="3">
        <v>6</v>
      </c>
      <c r="J39" s="4">
        <v>558.54166666666663</v>
      </c>
      <c r="K39" s="4">
        <v>558.54166666666663</v>
      </c>
      <c r="L39" s="4">
        <v>2792.708333333333</v>
      </c>
      <c r="M39" s="4">
        <v>558.54166666666663</v>
      </c>
      <c r="N39" s="4">
        <v>2234.166666666667</v>
      </c>
      <c r="O39" s="4">
        <v>558.54166666666663</v>
      </c>
      <c r="P39" s="4">
        <v>1675.625</v>
      </c>
      <c r="Q39" s="4">
        <v>558.54166666666663</v>
      </c>
      <c r="R39" s="4">
        <v>1117.083333333333</v>
      </c>
      <c r="S39" s="4">
        <v>1117.083333333333</v>
      </c>
    </row>
    <row r="40" spans="1:19" x14ac:dyDescent="0.3">
      <c r="A40" s="3" t="s">
        <v>103</v>
      </c>
      <c r="B40" s="3" t="s">
        <v>104</v>
      </c>
      <c r="C40" s="11">
        <v>45748</v>
      </c>
      <c r="D40" s="3" t="s">
        <v>105</v>
      </c>
      <c r="E40" s="3">
        <v>1250</v>
      </c>
      <c r="F40" s="4">
        <v>56000</v>
      </c>
      <c r="G40" s="11">
        <v>45748</v>
      </c>
      <c r="H40" s="11">
        <v>45901</v>
      </c>
      <c r="I40" s="3">
        <v>6</v>
      </c>
      <c r="J40" s="4">
        <v>9333.3333333333339</v>
      </c>
      <c r="K40" s="4">
        <v>0</v>
      </c>
      <c r="L40" s="4"/>
      <c r="M40" s="4">
        <v>0</v>
      </c>
      <c r="N40" s="4"/>
      <c r="O40" s="4">
        <v>0</v>
      </c>
      <c r="P40" s="4"/>
      <c r="Q40" s="4">
        <v>9333.3333333333339</v>
      </c>
      <c r="R40" s="4">
        <v>46666.666666666657</v>
      </c>
      <c r="S40" s="4">
        <v>46666.666666666657</v>
      </c>
    </row>
    <row r="41" spans="1:19" x14ac:dyDescent="0.3">
      <c r="A41" s="3" t="s">
        <v>103</v>
      </c>
      <c r="B41" s="3" t="s">
        <v>106</v>
      </c>
      <c r="C41" s="11">
        <v>45748</v>
      </c>
      <c r="D41" s="3" t="s">
        <v>105</v>
      </c>
      <c r="E41" s="3">
        <v>1250</v>
      </c>
      <c r="F41" s="4">
        <v>28000</v>
      </c>
      <c r="G41" s="11">
        <v>45748</v>
      </c>
      <c r="H41" s="11">
        <v>45901</v>
      </c>
      <c r="I41" s="3">
        <v>6</v>
      </c>
      <c r="J41" s="4">
        <v>4666.666666666667</v>
      </c>
      <c r="K41" s="4">
        <v>0</v>
      </c>
      <c r="L41" s="4"/>
      <c r="M41" s="4">
        <v>0</v>
      </c>
      <c r="N41" s="4"/>
      <c r="O41" s="4">
        <v>0</v>
      </c>
      <c r="P41" s="4"/>
      <c r="Q41" s="4">
        <v>4666.666666666667</v>
      </c>
      <c r="R41" s="4">
        <v>23333.333333333328</v>
      </c>
      <c r="S41" s="4">
        <v>23333.333333333328</v>
      </c>
    </row>
    <row r="42" spans="1:19" x14ac:dyDescent="0.3">
      <c r="A42" s="3" t="s">
        <v>107</v>
      </c>
      <c r="B42" s="3" t="s">
        <v>108</v>
      </c>
      <c r="C42" s="11">
        <v>45658</v>
      </c>
      <c r="D42" s="3" t="s">
        <v>47</v>
      </c>
      <c r="E42" s="3">
        <v>1250</v>
      </c>
      <c r="F42" s="4">
        <v>3726.67</v>
      </c>
      <c r="G42" s="11">
        <v>45658</v>
      </c>
      <c r="H42" s="11">
        <v>45809</v>
      </c>
      <c r="I42" s="3">
        <v>6</v>
      </c>
      <c r="J42" s="4">
        <v>621.11166666666668</v>
      </c>
      <c r="K42" s="4">
        <v>621.11166666666668</v>
      </c>
      <c r="L42" s="4">
        <v>3105.5583333333329</v>
      </c>
      <c r="M42" s="4">
        <v>621.11166666666668</v>
      </c>
      <c r="N42" s="4">
        <v>2484.4466666666672</v>
      </c>
      <c r="O42" s="4">
        <v>621.11166666666668</v>
      </c>
      <c r="P42" s="4">
        <v>1863.335</v>
      </c>
      <c r="Q42" s="4">
        <v>621.11166666666668</v>
      </c>
      <c r="R42" s="4">
        <v>1242.2233333333329</v>
      </c>
      <c r="S42" s="4">
        <v>1242.2233333333329</v>
      </c>
    </row>
    <row r="43" spans="1:19" x14ac:dyDescent="0.3">
      <c r="A43" s="3" t="s">
        <v>109</v>
      </c>
      <c r="B43" s="3" t="s">
        <v>110</v>
      </c>
      <c r="C43" s="11">
        <v>45658</v>
      </c>
      <c r="D43" s="3" t="s">
        <v>66</v>
      </c>
      <c r="E43" s="3">
        <v>1250</v>
      </c>
      <c r="F43" s="4">
        <v>69771.73</v>
      </c>
      <c r="G43" s="11">
        <v>45658</v>
      </c>
      <c r="H43" s="11">
        <v>45809</v>
      </c>
      <c r="I43" s="3">
        <v>6</v>
      </c>
      <c r="J43" s="4">
        <v>11628.62166666667</v>
      </c>
      <c r="K43" s="4">
        <v>11628.62166666667</v>
      </c>
      <c r="L43" s="4">
        <v>58143.10833333333</v>
      </c>
      <c r="M43" s="4">
        <v>11628.62166666667</v>
      </c>
      <c r="N43" s="4">
        <v>46514.486666666657</v>
      </c>
      <c r="O43" s="4">
        <v>11628.62166666667</v>
      </c>
      <c r="P43" s="4">
        <v>34885.864999999998</v>
      </c>
      <c r="Q43" s="4">
        <v>11628.62166666667</v>
      </c>
      <c r="R43" s="4">
        <v>23257.243333333328</v>
      </c>
      <c r="S43" s="4">
        <v>23257.243333333328</v>
      </c>
    </row>
    <row r="44" spans="1:19" x14ac:dyDescent="0.3">
      <c r="A44" s="3" t="s">
        <v>109</v>
      </c>
      <c r="B44" s="3" t="s">
        <v>111</v>
      </c>
      <c r="C44" s="11">
        <v>45748</v>
      </c>
      <c r="D44" s="3" t="s">
        <v>66</v>
      </c>
      <c r="E44" s="3">
        <v>1250</v>
      </c>
      <c r="F44" s="4">
        <v>8964</v>
      </c>
      <c r="G44" s="11">
        <v>45748</v>
      </c>
      <c r="H44" s="11">
        <v>45901</v>
      </c>
      <c r="I44" s="3">
        <v>6</v>
      </c>
      <c r="J44" s="4">
        <v>1494</v>
      </c>
      <c r="K44" s="4">
        <v>0</v>
      </c>
      <c r="L44" s="4"/>
      <c r="M44" s="4">
        <v>0</v>
      </c>
      <c r="N44" s="4"/>
      <c r="O44" s="4">
        <v>0</v>
      </c>
      <c r="P44" s="4"/>
      <c r="Q44" s="4">
        <v>1494</v>
      </c>
      <c r="R44" s="4">
        <v>7470</v>
      </c>
      <c r="S44" s="4">
        <v>7470</v>
      </c>
    </row>
    <row r="45" spans="1:19" x14ac:dyDescent="0.3">
      <c r="A45" s="3" t="s">
        <v>109</v>
      </c>
      <c r="B45" s="3" t="s">
        <v>112</v>
      </c>
      <c r="C45" s="11">
        <v>45748</v>
      </c>
      <c r="D45" s="3" t="s">
        <v>66</v>
      </c>
      <c r="E45" s="3">
        <v>1250</v>
      </c>
      <c r="F45" s="4">
        <v>31556.78</v>
      </c>
      <c r="G45" s="11">
        <v>45748</v>
      </c>
      <c r="H45" s="11">
        <v>45901</v>
      </c>
      <c r="I45" s="3">
        <v>6</v>
      </c>
      <c r="J45" s="4">
        <v>5259.4633333333331</v>
      </c>
      <c r="K45" s="4">
        <v>0</v>
      </c>
      <c r="L45" s="4"/>
      <c r="M45" s="4">
        <v>0</v>
      </c>
      <c r="N45" s="4"/>
      <c r="O45" s="4">
        <v>0</v>
      </c>
      <c r="P45" s="4"/>
      <c r="Q45" s="4">
        <v>5259.4633333333331</v>
      </c>
      <c r="R45" s="4">
        <v>26297.316666666669</v>
      </c>
      <c r="S45" s="4">
        <v>26297.316666666669</v>
      </c>
    </row>
    <row r="46" spans="1:19" x14ac:dyDescent="0.3">
      <c r="A46" s="3" t="s">
        <v>113</v>
      </c>
      <c r="B46" s="3" t="s">
        <v>114</v>
      </c>
      <c r="C46" s="11">
        <v>45658</v>
      </c>
      <c r="D46" s="3" t="s">
        <v>47</v>
      </c>
      <c r="E46" s="3">
        <v>1250</v>
      </c>
      <c r="F46" s="4">
        <v>32005.42</v>
      </c>
      <c r="G46" s="11">
        <v>45658</v>
      </c>
      <c r="H46" s="11">
        <v>45809</v>
      </c>
      <c r="I46" s="3">
        <v>6</v>
      </c>
      <c r="J46" s="4">
        <v>5334.2366666666667</v>
      </c>
      <c r="K46" s="4">
        <v>5334.2366666666667</v>
      </c>
      <c r="L46" s="4">
        <v>26671.183333333331</v>
      </c>
      <c r="M46" s="4">
        <v>5334.2366666666667</v>
      </c>
      <c r="N46" s="4">
        <v>21336.946666666659</v>
      </c>
      <c r="O46" s="4">
        <v>5334.2366666666667</v>
      </c>
      <c r="P46" s="4">
        <v>16002.71</v>
      </c>
      <c r="Q46" s="4">
        <v>5334.2366666666667</v>
      </c>
      <c r="R46" s="4">
        <v>10668.47333333333</v>
      </c>
      <c r="S46" s="4">
        <v>10668.47333333333</v>
      </c>
    </row>
    <row r="47" spans="1:19" x14ac:dyDescent="0.3">
      <c r="A47" s="12" t="s">
        <v>115</v>
      </c>
      <c r="B47" s="13"/>
      <c r="C47" s="13"/>
      <c r="D47" s="13"/>
      <c r="E47" s="13"/>
      <c r="F47" s="14">
        <f>SUM(F6:F46)</f>
        <v>1087156.21</v>
      </c>
      <c r="G47" s="13"/>
      <c r="H47" s="13"/>
      <c r="I47" s="13"/>
      <c r="J47" s="13"/>
      <c r="K47" s="14">
        <f t="shared" ref="K47:S47" si="0">SUM(K6:K46)</f>
        <v>103786.97166666668</v>
      </c>
      <c r="L47" s="14">
        <f t="shared" si="0"/>
        <v>518934.8583333334</v>
      </c>
      <c r="M47" s="14">
        <f t="shared" si="0"/>
        <v>106092.02000000002</v>
      </c>
      <c r="N47" s="14">
        <f t="shared" si="0"/>
        <v>426673.1283333333</v>
      </c>
      <c r="O47" s="14">
        <f t="shared" si="0"/>
        <v>136706.90833333333</v>
      </c>
      <c r="P47" s="14">
        <f t="shared" si="0"/>
        <v>473655.55000000005</v>
      </c>
      <c r="Q47" s="14">
        <f t="shared" si="0"/>
        <v>181192.70166666669</v>
      </c>
      <c r="R47" s="14">
        <f t="shared" si="0"/>
        <v>559377.6083333334</v>
      </c>
      <c r="S47" s="14">
        <f t="shared" si="0"/>
        <v>559377.6083333334</v>
      </c>
    </row>
    <row r="50" spans="1:7" ht="15.6" x14ac:dyDescent="0.3">
      <c r="A50" s="8" t="s">
        <v>116</v>
      </c>
    </row>
    <row r="51" spans="1:7" x14ac:dyDescent="0.3">
      <c r="A51" s="15" t="s">
        <v>14</v>
      </c>
      <c r="B51" s="15" t="s">
        <v>117</v>
      </c>
      <c r="C51" s="15" t="s">
        <v>118</v>
      </c>
      <c r="D51" s="15" t="s">
        <v>119</v>
      </c>
      <c r="E51" s="15" t="s">
        <v>120</v>
      </c>
      <c r="F51" s="15" t="s">
        <v>121</v>
      </c>
      <c r="G51" s="15" t="s">
        <v>9</v>
      </c>
    </row>
    <row r="52" spans="1:7" x14ac:dyDescent="0.3">
      <c r="A52" t="s">
        <v>21</v>
      </c>
      <c r="B52" s="16">
        <v>0</v>
      </c>
      <c r="C52" s="16">
        <f>SUMPRODUCT((MONTH($C$6:$C$46)=1)*(YEAR($C$6:$C$46)=2025)*($F$6:$F$46))</f>
        <v>622721.83000000007</v>
      </c>
      <c r="D52" s="16">
        <f>SUM(K6:K46)</f>
        <v>103786.97166666668</v>
      </c>
      <c r="E52" s="16">
        <f>ROUND(B52+C52-D52,2)</f>
        <v>518934.86</v>
      </c>
      <c r="F52" s="16">
        <v>518934.86</v>
      </c>
      <c r="G52" s="16">
        <f>ROUND(E52-F52,2)</f>
        <v>0</v>
      </c>
    </row>
    <row r="53" spans="1:7" x14ac:dyDescent="0.3">
      <c r="A53" t="s">
        <v>22</v>
      </c>
      <c r="B53" s="16">
        <f>E52</f>
        <v>518934.86</v>
      </c>
      <c r="C53" s="16">
        <f>SUMPRODUCT((MONTH($C$6:$C$46)=2)*(YEAR($C$6:$C$46)=2025)*($F$6:$F$46))</f>
        <v>13830.289999999999</v>
      </c>
      <c r="D53" s="16">
        <f>SUM(M6:M46)</f>
        <v>106092.02000000002</v>
      </c>
      <c r="E53" s="16">
        <f>ROUND(B53+C53-D53,2)</f>
        <v>426673.13</v>
      </c>
      <c r="F53" s="16">
        <v>426673.13</v>
      </c>
      <c r="G53" s="16">
        <f>ROUND(E53-F53,2)</f>
        <v>0</v>
      </c>
    </row>
    <row r="54" spans="1:7" x14ac:dyDescent="0.3">
      <c r="A54" t="s">
        <v>23</v>
      </c>
      <c r="B54" s="16">
        <f>E53</f>
        <v>426673.13</v>
      </c>
      <c r="C54" s="16">
        <f>SUMPRODUCT((MONTH($C$6:$C$46)=3)*(YEAR($C$6:$C$46)=2025)*($F$6:$F$46))</f>
        <v>183689.33</v>
      </c>
      <c r="D54" s="16">
        <f>SUM(O6:O46)</f>
        <v>136706.90833333333</v>
      </c>
      <c r="E54" s="16">
        <f>ROUND(B54+C54-D54,2)</f>
        <v>473655.55</v>
      </c>
      <c r="F54" s="16">
        <v>473655.55</v>
      </c>
      <c r="G54" s="16">
        <f>ROUND(E54-F54,2)</f>
        <v>0</v>
      </c>
    </row>
    <row r="55" spans="1:7" x14ac:dyDescent="0.3">
      <c r="A55" t="s">
        <v>24</v>
      </c>
      <c r="B55" s="16">
        <f>E54</f>
        <v>473655.55</v>
      </c>
      <c r="C55" s="16">
        <f>SUMPRODUCT((MONTH($C$6:$C$46)=4)*(YEAR($C$6:$C$46)=2025)*($F$6:$F$46))</f>
        <v>266914.76</v>
      </c>
      <c r="D55" s="16">
        <f>SUM(Q6:Q46)</f>
        <v>181192.70166666669</v>
      </c>
      <c r="E55" s="16">
        <f>ROUND(B55+C55-D55,2)</f>
        <v>559377.61</v>
      </c>
      <c r="F55" s="16">
        <v>559377.61</v>
      </c>
      <c r="G55" s="16">
        <f>ROUND(E55-F55,2)</f>
        <v>0</v>
      </c>
    </row>
    <row r="56" spans="1:7" x14ac:dyDescent="0.3">
      <c r="A56" s="17" t="s">
        <v>122</v>
      </c>
      <c r="B56" s="18"/>
      <c r="C56" s="19">
        <f>SUM(C52:C55)</f>
        <v>1087156.21</v>
      </c>
      <c r="D56" s="19">
        <f>SUM(D52:D55)</f>
        <v>527778.60166666668</v>
      </c>
      <c r="E56" s="19">
        <f>E55</f>
        <v>559377.61</v>
      </c>
      <c r="F56" s="19">
        <v>559377.61</v>
      </c>
      <c r="G56" s="19">
        <f>ROUND(E56-F56,2)</f>
        <v>0</v>
      </c>
    </row>
  </sheetData>
  <autoFilter ref="A5:S46" xr:uid="{00000000-0009-0000-0000-000001000000}"/>
  <mergeCells count="3">
    <mergeCell ref="A3:S3"/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workbookViewId="0">
      <pane ySplit="6" topLeftCell="A25" activePane="bottomLeft" state="frozen"/>
      <selection pane="bottomLeft" sqref="A1:S1"/>
    </sheetView>
  </sheetViews>
  <sheetFormatPr defaultRowHeight="14.4" x14ac:dyDescent="0.3"/>
  <cols>
    <col min="1" max="1" width="22" customWidth="1"/>
    <col min="2" max="2" width="19" customWidth="1"/>
    <col min="3" max="3" width="22" customWidth="1"/>
    <col min="4" max="4" width="18" customWidth="1"/>
    <col min="5" max="5" width="22" customWidth="1"/>
    <col min="6" max="6" width="17" customWidth="1"/>
    <col min="7" max="7" width="20" customWidth="1"/>
    <col min="8" max="8" width="18" customWidth="1"/>
    <col min="9" max="9" width="12" customWidth="1"/>
    <col min="10" max="18" width="20" customWidth="1"/>
    <col min="19" max="19" width="22" customWidth="1"/>
  </cols>
  <sheetData>
    <row r="1" spans="1:19" ht="18" x14ac:dyDescent="0.35">
      <c r="A1" s="22" t="s">
        <v>123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x14ac:dyDescent="0.3">
      <c r="A2" s="20" t="s">
        <v>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x14ac:dyDescent="0.3">
      <c r="A3" s="23" t="s">
        <v>124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x14ac:dyDescent="0.3">
      <c r="A4" s="23" t="s">
        <v>125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6" spans="1:19" ht="28.8" x14ac:dyDescent="0.3">
      <c r="A6" s="10" t="s">
        <v>28</v>
      </c>
      <c r="B6" s="10" t="s">
        <v>29</v>
      </c>
      <c r="C6" s="10" t="s">
        <v>30</v>
      </c>
      <c r="D6" s="10" t="s">
        <v>31</v>
      </c>
      <c r="E6" s="10" t="s">
        <v>4</v>
      </c>
      <c r="F6" s="10" t="s">
        <v>32</v>
      </c>
      <c r="G6" s="10" t="s">
        <v>33</v>
      </c>
      <c r="H6" s="10" t="s">
        <v>34</v>
      </c>
      <c r="I6" s="10" t="s">
        <v>35</v>
      </c>
      <c r="J6" s="10" t="s">
        <v>36</v>
      </c>
      <c r="K6" s="10" t="s">
        <v>37</v>
      </c>
      <c r="L6" s="10" t="s">
        <v>38</v>
      </c>
      <c r="M6" s="10" t="s">
        <v>39</v>
      </c>
      <c r="N6" s="10" t="s">
        <v>40</v>
      </c>
      <c r="O6" s="10" t="s">
        <v>41</v>
      </c>
      <c r="P6" s="10" t="s">
        <v>42</v>
      </c>
      <c r="Q6" s="10" t="s">
        <v>43</v>
      </c>
      <c r="R6" s="10" t="s">
        <v>44</v>
      </c>
      <c r="S6" s="10" t="s">
        <v>7</v>
      </c>
    </row>
    <row r="7" spans="1:19" x14ac:dyDescent="0.3">
      <c r="A7" s="3" t="s">
        <v>126</v>
      </c>
      <c r="B7" s="3" t="s">
        <v>127</v>
      </c>
      <c r="C7" s="11">
        <v>45658</v>
      </c>
      <c r="D7" s="3" t="s">
        <v>128</v>
      </c>
      <c r="E7" s="3">
        <v>1251</v>
      </c>
      <c r="F7" s="4">
        <v>5493.27</v>
      </c>
      <c r="G7" s="11">
        <v>45689</v>
      </c>
      <c r="H7" s="11">
        <v>45689</v>
      </c>
      <c r="I7" s="3">
        <v>1</v>
      </c>
      <c r="J7" s="4">
        <v>5493.27</v>
      </c>
      <c r="K7" s="4">
        <v>0</v>
      </c>
      <c r="L7" s="4">
        <v>5493.27</v>
      </c>
      <c r="M7" s="4">
        <v>5493.27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</row>
    <row r="8" spans="1:19" x14ac:dyDescent="0.3">
      <c r="A8" s="3" t="s">
        <v>126</v>
      </c>
      <c r="B8" s="3" t="s">
        <v>129</v>
      </c>
      <c r="C8" s="11">
        <v>45689</v>
      </c>
      <c r="D8" s="3" t="s">
        <v>128</v>
      </c>
      <c r="E8" s="3">
        <v>1251</v>
      </c>
      <c r="F8" s="4">
        <v>5493.27</v>
      </c>
      <c r="G8" s="11">
        <v>45717</v>
      </c>
      <c r="H8" s="11">
        <v>45717</v>
      </c>
      <c r="I8" s="3">
        <v>1</v>
      </c>
      <c r="J8" s="4">
        <v>5493.27</v>
      </c>
      <c r="K8" s="4">
        <v>0</v>
      </c>
      <c r="L8" s="4"/>
      <c r="M8" s="4">
        <v>0</v>
      </c>
      <c r="N8" s="4">
        <v>5493.27</v>
      </c>
      <c r="O8" s="4">
        <v>5493.27</v>
      </c>
      <c r="P8" s="4">
        <v>0</v>
      </c>
      <c r="Q8" s="4">
        <v>0</v>
      </c>
      <c r="R8" s="4">
        <v>0</v>
      </c>
      <c r="S8" s="4">
        <v>0</v>
      </c>
    </row>
    <row r="9" spans="1:19" x14ac:dyDescent="0.3">
      <c r="A9" s="3" t="s">
        <v>126</v>
      </c>
      <c r="B9" s="3" t="s">
        <v>130</v>
      </c>
      <c r="C9" s="11">
        <v>45717</v>
      </c>
      <c r="D9" s="3" t="s">
        <v>128</v>
      </c>
      <c r="E9" s="3">
        <v>1251</v>
      </c>
      <c r="F9" s="4">
        <v>5493.27</v>
      </c>
      <c r="G9" s="11">
        <v>45748</v>
      </c>
      <c r="H9" s="11">
        <v>45748</v>
      </c>
      <c r="I9" s="3">
        <v>1</v>
      </c>
      <c r="J9" s="4">
        <v>5493.27</v>
      </c>
      <c r="K9" s="4">
        <v>0</v>
      </c>
      <c r="L9" s="4"/>
      <c r="M9" s="4">
        <v>0</v>
      </c>
      <c r="N9" s="4"/>
      <c r="O9" s="4">
        <v>0</v>
      </c>
      <c r="P9" s="4">
        <v>5493.27</v>
      </c>
      <c r="Q9" s="4">
        <v>5493.27</v>
      </c>
      <c r="R9" s="4">
        <v>0</v>
      </c>
      <c r="S9" s="4">
        <v>0</v>
      </c>
    </row>
    <row r="10" spans="1:19" x14ac:dyDescent="0.3">
      <c r="A10" s="3" t="s">
        <v>126</v>
      </c>
      <c r="B10" s="3" t="s">
        <v>131</v>
      </c>
      <c r="C10" s="11">
        <v>45748</v>
      </c>
      <c r="D10" s="3" t="s">
        <v>128</v>
      </c>
      <c r="E10" s="3">
        <v>1251</v>
      </c>
      <c r="F10" s="4">
        <v>5493.27</v>
      </c>
      <c r="G10" s="11">
        <v>45778</v>
      </c>
      <c r="H10" s="11">
        <v>45778</v>
      </c>
      <c r="I10" s="3">
        <v>1</v>
      </c>
      <c r="J10" s="4">
        <v>5493.27</v>
      </c>
      <c r="K10" s="4">
        <v>0</v>
      </c>
      <c r="L10" s="4"/>
      <c r="M10" s="4">
        <v>0</v>
      </c>
      <c r="N10" s="4"/>
      <c r="O10" s="4">
        <v>0</v>
      </c>
      <c r="P10" s="4"/>
      <c r="Q10" s="4">
        <v>0</v>
      </c>
      <c r="R10" s="4">
        <v>5493.27</v>
      </c>
      <c r="S10" s="4">
        <v>5493.27</v>
      </c>
    </row>
    <row r="11" spans="1:19" x14ac:dyDescent="0.3">
      <c r="A11" s="3" t="s">
        <v>132</v>
      </c>
      <c r="B11" s="3" t="s">
        <v>133</v>
      </c>
      <c r="C11" s="11">
        <v>45658</v>
      </c>
      <c r="D11" s="3" t="s">
        <v>134</v>
      </c>
      <c r="E11" s="3">
        <v>1251</v>
      </c>
      <c r="F11" s="4">
        <v>88270.75</v>
      </c>
      <c r="G11" s="11">
        <v>45658</v>
      </c>
      <c r="H11" s="11">
        <v>45992</v>
      </c>
      <c r="I11" s="3">
        <v>12</v>
      </c>
      <c r="J11" s="4">
        <v>7355.895833333333</v>
      </c>
      <c r="K11" s="4">
        <v>7355.895833333333</v>
      </c>
      <c r="L11" s="4">
        <v>80914.854166666672</v>
      </c>
      <c r="M11" s="4">
        <v>7355.895833333333</v>
      </c>
      <c r="N11" s="4">
        <v>73558.958333333328</v>
      </c>
      <c r="O11" s="4">
        <v>7355.895833333333</v>
      </c>
      <c r="P11" s="4">
        <v>66203.0625</v>
      </c>
      <c r="Q11" s="4">
        <v>7355.895833333333</v>
      </c>
      <c r="R11" s="4">
        <v>58847.166666666672</v>
      </c>
      <c r="S11" s="4">
        <v>58847.166666666672</v>
      </c>
    </row>
    <row r="12" spans="1:19" x14ac:dyDescent="0.3">
      <c r="A12" s="3" t="s">
        <v>132</v>
      </c>
      <c r="B12" s="3" t="s">
        <v>135</v>
      </c>
      <c r="C12" s="11">
        <v>45658</v>
      </c>
      <c r="D12" s="3" t="s">
        <v>134</v>
      </c>
      <c r="E12" s="3">
        <v>1251</v>
      </c>
      <c r="F12" s="4">
        <v>39128</v>
      </c>
      <c r="G12" s="11">
        <v>45658</v>
      </c>
      <c r="H12" s="11">
        <v>45992</v>
      </c>
      <c r="I12" s="3">
        <v>12</v>
      </c>
      <c r="J12" s="4">
        <v>3260.666666666667</v>
      </c>
      <c r="K12" s="4">
        <v>3260.666666666667</v>
      </c>
      <c r="L12" s="4">
        <v>35867.333333333343</v>
      </c>
      <c r="M12" s="4">
        <v>3260.666666666667</v>
      </c>
      <c r="N12" s="4">
        <v>32606.666666666672</v>
      </c>
      <c r="O12" s="4">
        <v>3260.666666666667</v>
      </c>
      <c r="P12" s="4">
        <v>29346</v>
      </c>
      <c r="Q12" s="4">
        <v>3260.666666666667</v>
      </c>
      <c r="R12" s="4">
        <v>26085.333333333339</v>
      </c>
      <c r="S12" s="4">
        <v>26085.333333333339</v>
      </c>
    </row>
    <row r="13" spans="1:19" x14ac:dyDescent="0.3">
      <c r="A13" s="3" t="s">
        <v>132</v>
      </c>
      <c r="B13" s="3" t="s">
        <v>136</v>
      </c>
      <c r="C13" s="11">
        <v>45658</v>
      </c>
      <c r="D13" s="3" t="s">
        <v>134</v>
      </c>
      <c r="E13" s="3">
        <v>1251</v>
      </c>
      <c r="F13" s="4">
        <v>73254.95</v>
      </c>
      <c r="G13" s="11">
        <v>45658</v>
      </c>
      <c r="H13" s="11">
        <v>45992</v>
      </c>
      <c r="I13" s="3">
        <v>12</v>
      </c>
      <c r="J13" s="4">
        <v>6104.5791666666664</v>
      </c>
      <c r="K13" s="4">
        <v>6104.5791666666664</v>
      </c>
      <c r="L13" s="4">
        <v>67150.370833333334</v>
      </c>
      <c r="M13" s="4">
        <v>6104.5791666666664</v>
      </c>
      <c r="N13" s="4">
        <v>61045.791666666657</v>
      </c>
      <c r="O13" s="4">
        <v>6104.5791666666664</v>
      </c>
      <c r="P13" s="4">
        <v>54941.212499999987</v>
      </c>
      <c r="Q13" s="4">
        <v>6104.5791666666664</v>
      </c>
      <c r="R13" s="4">
        <v>48836.633333333331</v>
      </c>
      <c r="S13" s="4">
        <v>48836.633333333331</v>
      </c>
    </row>
    <row r="14" spans="1:19" x14ac:dyDescent="0.3">
      <c r="A14" s="3" t="s">
        <v>132</v>
      </c>
      <c r="B14" s="3" t="s">
        <v>137</v>
      </c>
      <c r="C14" s="11">
        <v>45658</v>
      </c>
      <c r="D14" s="3" t="s">
        <v>134</v>
      </c>
      <c r="E14" s="3">
        <v>1251</v>
      </c>
      <c r="F14" s="4">
        <v>23800</v>
      </c>
      <c r="G14" s="11">
        <v>45658</v>
      </c>
      <c r="H14" s="11">
        <v>45992</v>
      </c>
      <c r="I14" s="3">
        <v>12</v>
      </c>
      <c r="J14" s="4">
        <v>1983.333333333333</v>
      </c>
      <c r="K14" s="4">
        <v>1983.333333333333</v>
      </c>
      <c r="L14" s="4">
        <v>21816.666666666672</v>
      </c>
      <c r="M14" s="4">
        <v>1983.333333333333</v>
      </c>
      <c r="N14" s="4">
        <v>19833.333333333328</v>
      </c>
      <c r="O14" s="4">
        <v>1983.333333333333</v>
      </c>
      <c r="P14" s="4">
        <v>17850</v>
      </c>
      <c r="Q14" s="4">
        <v>1983.333333333333</v>
      </c>
      <c r="R14" s="4">
        <v>15866.66666666667</v>
      </c>
      <c r="S14" s="4">
        <v>15866.66666666667</v>
      </c>
    </row>
    <row r="15" spans="1:19" x14ac:dyDescent="0.3">
      <c r="A15" s="3" t="s">
        <v>132</v>
      </c>
      <c r="B15" s="3" t="s">
        <v>138</v>
      </c>
      <c r="C15" s="11">
        <v>45658</v>
      </c>
      <c r="D15" s="3" t="s">
        <v>134</v>
      </c>
      <c r="E15" s="3">
        <v>1251</v>
      </c>
      <c r="F15" s="4">
        <v>11864.44</v>
      </c>
      <c r="G15" s="11">
        <v>45658</v>
      </c>
      <c r="H15" s="11">
        <v>45992</v>
      </c>
      <c r="I15" s="3">
        <v>12</v>
      </c>
      <c r="J15" s="4">
        <v>988.70333333333338</v>
      </c>
      <c r="K15" s="4">
        <v>988.70333333333338</v>
      </c>
      <c r="L15" s="4">
        <v>10875.736666666669</v>
      </c>
      <c r="M15" s="4">
        <v>988.70333333333338</v>
      </c>
      <c r="N15" s="4">
        <v>9887.0333333333328</v>
      </c>
      <c r="O15" s="4">
        <v>988.70333333333338</v>
      </c>
      <c r="P15" s="4">
        <v>8898.33</v>
      </c>
      <c r="Q15" s="4">
        <v>988.70333333333338</v>
      </c>
      <c r="R15" s="4">
        <v>7909.626666666667</v>
      </c>
      <c r="S15" s="4">
        <v>7909.626666666667</v>
      </c>
    </row>
    <row r="16" spans="1:19" x14ac:dyDescent="0.3">
      <c r="A16" s="3" t="s">
        <v>132</v>
      </c>
      <c r="B16" s="3" t="s">
        <v>139</v>
      </c>
      <c r="C16" s="11">
        <v>45658</v>
      </c>
      <c r="D16" s="3" t="s">
        <v>134</v>
      </c>
      <c r="E16" s="3">
        <v>1251</v>
      </c>
      <c r="F16" s="4">
        <v>33724</v>
      </c>
      <c r="G16" s="11">
        <v>45658</v>
      </c>
      <c r="H16" s="11">
        <v>45992</v>
      </c>
      <c r="I16" s="3">
        <v>12</v>
      </c>
      <c r="J16" s="4">
        <v>2810.333333333333</v>
      </c>
      <c r="K16" s="4">
        <v>2810.333333333333</v>
      </c>
      <c r="L16" s="4">
        <v>30913.666666666672</v>
      </c>
      <c r="M16" s="4">
        <v>2810.333333333333</v>
      </c>
      <c r="N16" s="4">
        <v>28103.333333333328</v>
      </c>
      <c r="O16" s="4">
        <v>2810.333333333333</v>
      </c>
      <c r="P16" s="4">
        <v>25293</v>
      </c>
      <c r="Q16" s="4">
        <v>2810.333333333333</v>
      </c>
      <c r="R16" s="4">
        <v>22482.666666666661</v>
      </c>
      <c r="S16" s="4">
        <v>22482.666666666661</v>
      </c>
    </row>
    <row r="17" spans="1:19" x14ac:dyDescent="0.3">
      <c r="A17" s="3" t="s">
        <v>132</v>
      </c>
      <c r="B17" s="3" t="s">
        <v>140</v>
      </c>
      <c r="C17" s="11">
        <v>45658</v>
      </c>
      <c r="D17" s="3" t="s">
        <v>134</v>
      </c>
      <c r="E17" s="3">
        <v>1251</v>
      </c>
      <c r="F17" s="4">
        <v>11259</v>
      </c>
      <c r="G17" s="11">
        <v>45658</v>
      </c>
      <c r="H17" s="11">
        <v>45992</v>
      </c>
      <c r="I17" s="3">
        <v>12</v>
      </c>
      <c r="J17" s="4">
        <v>938.25</v>
      </c>
      <c r="K17" s="4">
        <v>938.25</v>
      </c>
      <c r="L17" s="4">
        <v>10320.75</v>
      </c>
      <c r="M17" s="4">
        <v>938.25</v>
      </c>
      <c r="N17" s="4">
        <v>9382.5</v>
      </c>
      <c r="O17" s="4">
        <v>938.25</v>
      </c>
      <c r="P17" s="4">
        <v>8444.25</v>
      </c>
      <c r="Q17" s="4">
        <v>938.25</v>
      </c>
      <c r="R17" s="4">
        <v>7506</v>
      </c>
      <c r="S17" s="4">
        <v>7506</v>
      </c>
    </row>
    <row r="18" spans="1:19" x14ac:dyDescent="0.3">
      <c r="A18" s="3" t="s">
        <v>132</v>
      </c>
      <c r="B18" s="3" t="s">
        <v>141</v>
      </c>
      <c r="C18" s="11">
        <v>45658</v>
      </c>
      <c r="D18" s="3" t="s">
        <v>134</v>
      </c>
      <c r="E18" s="3">
        <v>1251</v>
      </c>
      <c r="F18" s="4">
        <v>23204</v>
      </c>
      <c r="G18" s="11">
        <v>45658</v>
      </c>
      <c r="H18" s="11">
        <v>45992</v>
      </c>
      <c r="I18" s="3">
        <v>12</v>
      </c>
      <c r="J18" s="4">
        <v>1933.666666666667</v>
      </c>
      <c r="K18" s="4">
        <v>1933.666666666667</v>
      </c>
      <c r="L18" s="4">
        <v>21270.333333333328</v>
      </c>
      <c r="M18" s="4">
        <v>1933.666666666667</v>
      </c>
      <c r="N18" s="4">
        <v>19336.666666666672</v>
      </c>
      <c r="O18" s="4">
        <v>1933.666666666667</v>
      </c>
      <c r="P18" s="4">
        <v>17403</v>
      </c>
      <c r="Q18" s="4">
        <v>1933.666666666667</v>
      </c>
      <c r="R18" s="4">
        <v>15469.33333333333</v>
      </c>
      <c r="S18" s="4">
        <v>15469.33333333333</v>
      </c>
    </row>
    <row r="19" spans="1:19" x14ac:dyDescent="0.3">
      <c r="A19" s="3" t="s">
        <v>132</v>
      </c>
      <c r="B19" s="3" t="s">
        <v>142</v>
      </c>
      <c r="C19" s="11">
        <v>45658</v>
      </c>
      <c r="D19" s="3" t="s">
        <v>134</v>
      </c>
      <c r="E19" s="3">
        <v>1251</v>
      </c>
      <c r="F19" s="4">
        <v>11861</v>
      </c>
      <c r="G19" s="11">
        <v>45658</v>
      </c>
      <c r="H19" s="11">
        <v>45992</v>
      </c>
      <c r="I19" s="3">
        <v>12</v>
      </c>
      <c r="J19" s="4">
        <v>988.41666666666663</v>
      </c>
      <c r="K19" s="4">
        <v>988.41666666666663</v>
      </c>
      <c r="L19" s="4">
        <v>10872.58333333333</v>
      </c>
      <c r="M19" s="4">
        <v>988.41666666666663</v>
      </c>
      <c r="N19" s="4">
        <v>9884.1666666666661</v>
      </c>
      <c r="O19" s="4">
        <v>988.41666666666663</v>
      </c>
      <c r="P19" s="4">
        <v>8895.75</v>
      </c>
      <c r="Q19" s="4">
        <v>988.41666666666663</v>
      </c>
      <c r="R19" s="4">
        <v>7907.3333333333339</v>
      </c>
      <c r="S19" s="4">
        <v>7907.3333333333339</v>
      </c>
    </row>
    <row r="20" spans="1:19" x14ac:dyDescent="0.3">
      <c r="A20" s="3" t="s">
        <v>132</v>
      </c>
      <c r="B20" s="3" t="s">
        <v>143</v>
      </c>
      <c r="C20" s="11">
        <v>45658</v>
      </c>
      <c r="D20" s="3" t="s">
        <v>134</v>
      </c>
      <c r="E20" s="3">
        <v>1251</v>
      </c>
      <c r="F20" s="4">
        <v>33695</v>
      </c>
      <c r="G20" s="11">
        <v>45658</v>
      </c>
      <c r="H20" s="11">
        <v>45992</v>
      </c>
      <c r="I20" s="3">
        <v>12</v>
      </c>
      <c r="J20" s="4">
        <v>2807.916666666667</v>
      </c>
      <c r="K20" s="4">
        <v>2807.916666666667</v>
      </c>
      <c r="L20" s="4">
        <v>30887.083333333328</v>
      </c>
      <c r="M20" s="4">
        <v>2807.916666666667</v>
      </c>
      <c r="N20" s="4">
        <v>28079.166666666672</v>
      </c>
      <c r="O20" s="4">
        <v>2807.916666666667</v>
      </c>
      <c r="P20" s="4">
        <v>25271.25</v>
      </c>
      <c r="Q20" s="4">
        <v>2807.916666666667</v>
      </c>
      <c r="R20" s="4">
        <v>22463.333333333339</v>
      </c>
      <c r="S20" s="4">
        <v>22463.333333333339</v>
      </c>
    </row>
    <row r="21" spans="1:19" x14ac:dyDescent="0.3">
      <c r="A21" s="3" t="s">
        <v>132</v>
      </c>
      <c r="B21" s="3" t="s">
        <v>144</v>
      </c>
      <c r="C21" s="11">
        <v>45658</v>
      </c>
      <c r="D21" s="3" t="s">
        <v>134</v>
      </c>
      <c r="E21" s="3">
        <v>1251</v>
      </c>
      <c r="F21" s="4">
        <v>11259</v>
      </c>
      <c r="G21" s="11">
        <v>45658</v>
      </c>
      <c r="H21" s="11">
        <v>45992</v>
      </c>
      <c r="I21" s="3">
        <v>12</v>
      </c>
      <c r="J21" s="4">
        <v>938.25</v>
      </c>
      <c r="K21" s="4">
        <v>938.25</v>
      </c>
      <c r="L21" s="4">
        <v>10320.75</v>
      </c>
      <c r="M21" s="4">
        <v>938.25</v>
      </c>
      <c r="N21" s="4">
        <v>9382.5</v>
      </c>
      <c r="O21" s="4">
        <v>938.25</v>
      </c>
      <c r="P21" s="4">
        <v>8444.25</v>
      </c>
      <c r="Q21" s="4">
        <v>938.25</v>
      </c>
      <c r="R21" s="4">
        <v>7506</v>
      </c>
      <c r="S21" s="4">
        <v>7506</v>
      </c>
    </row>
    <row r="22" spans="1:19" x14ac:dyDescent="0.3">
      <c r="A22" s="3" t="s">
        <v>132</v>
      </c>
      <c r="B22" s="3" t="s">
        <v>145</v>
      </c>
      <c r="C22" s="11">
        <v>45658</v>
      </c>
      <c r="D22" s="3" t="s">
        <v>134</v>
      </c>
      <c r="E22" s="3">
        <v>1251</v>
      </c>
      <c r="F22" s="4">
        <v>23194</v>
      </c>
      <c r="G22" s="11">
        <v>45658</v>
      </c>
      <c r="H22" s="11">
        <v>45992</v>
      </c>
      <c r="I22" s="3">
        <v>12</v>
      </c>
      <c r="J22" s="4">
        <v>1932.833333333333</v>
      </c>
      <c r="K22" s="4">
        <v>1932.833333333333</v>
      </c>
      <c r="L22" s="4">
        <v>21261.166666666672</v>
      </c>
      <c r="M22" s="4">
        <v>1932.833333333333</v>
      </c>
      <c r="N22" s="4">
        <v>19328.333333333328</v>
      </c>
      <c r="O22" s="4">
        <v>1932.833333333333</v>
      </c>
      <c r="P22" s="4">
        <v>17395.5</v>
      </c>
      <c r="Q22" s="4">
        <v>1932.833333333333</v>
      </c>
      <c r="R22" s="4">
        <v>15462.66666666667</v>
      </c>
      <c r="S22" s="4">
        <v>15462.66666666667</v>
      </c>
    </row>
    <row r="23" spans="1:19" x14ac:dyDescent="0.3">
      <c r="A23" s="3" t="s">
        <v>132</v>
      </c>
      <c r="B23" s="3" t="s">
        <v>146</v>
      </c>
      <c r="C23" s="11">
        <v>45658</v>
      </c>
      <c r="D23" s="3" t="s">
        <v>134</v>
      </c>
      <c r="E23" s="3">
        <v>1251</v>
      </c>
      <c r="F23" s="4">
        <v>11259</v>
      </c>
      <c r="G23" s="11">
        <v>45658</v>
      </c>
      <c r="H23" s="11">
        <v>45992</v>
      </c>
      <c r="I23" s="3">
        <v>12</v>
      </c>
      <c r="J23" s="4">
        <v>938.25</v>
      </c>
      <c r="K23" s="4">
        <v>938.25</v>
      </c>
      <c r="L23" s="4">
        <v>10320.75</v>
      </c>
      <c r="M23" s="4">
        <v>938.25</v>
      </c>
      <c r="N23" s="4">
        <v>9382.5</v>
      </c>
      <c r="O23" s="4">
        <v>938.25</v>
      </c>
      <c r="P23" s="4">
        <v>8444.25</v>
      </c>
      <c r="Q23" s="4">
        <v>938.25</v>
      </c>
      <c r="R23" s="4">
        <v>7506</v>
      </c>
      <c r="S23" s="4">
        <v>7506</v>
      </c>
    </row>
    <row r="24" spans="1:19" x14ac:dyDescent="0.3">
      <c r="A24" s="3" t="s">
        <v>132</v>
      </c>
      <c r="B24" s="3" t="s">
        <v>147</v>
      </c>
      <c r="C24" s="11">
        <v>45658</v>
      </c>
      <c r="D24" s="3" t="s">
        <v>134</v>
      </c>
      <c r="E24" s="3">
        <v>1251</v>
      </c>
      <c r="F24" s="4">
        <v>33695</v>
      </c>
      <c r="G24" s="11">
        <v>45658</v>
      </c>
      <c r="H24" s="11">
        <v>45992</v>
      </c>
      <c r="I24" s="3">
        <v>12</v>
      </c>
      <c r="J24" s="4">
        <v>2807.916666666667</v>
      </c>
      <c r="K24" s="4">
        <v>2807.916666666667</v>
      </c>
      <c r="L24" s="4">
        <v>30887.083333333328</v>
      </c>
      <c r="M24" s="4">
        <v>2807.916666666667</v>
      </c>
      <c r="N24" s="4">
        <v>28079.166666666672</v>
      </c>
      <c r="O24" s="4">
        <v>2807.916666666667</v>
      </c>
      <c r="P24" s="4">
        <v>25271.25</v>
      </c>
      <c r="Q24" s="4">
        <v>2807.916666666667</v>
      </c>
      <c r="R24" s="4">
        <v>22463.333333333339</v>
      </c>
      <c r="S24" s="4">
        <v>22463.333333333339</v>
      </c>
    </row>
    <row r="25" spans="1:19" x14ac:dyDescent="0.3">
      <c r="A25" s="3" t="s">
        <v>132</v>
      </c>
      <c r="B25" s="3" t="s">
        <v>148</v>
      </c>
      <c r="C25" s="11">
        <v>45658</v>
      </c>
      <c r="D25" s="3" t="s">
        <v>134</v>
      </c>
      <c r="E25" s="3">
        <v>1251</v>
      </c>
      <c r="F25" s="4">
        <v>23194</v>
      </c>
      <c r="G25" s="11">
        <v>45658</v>
      </c>
      <c r="H25" s="11">
        <v>45992</v>
      </c>
      <c r="I25" s="3">
        <v>12</v>
      </c>
      <c r="J25" s="4">
        <v>1932.833333333333</v>
      </c>
      <c r="K25" s="4">
        <v>1932.833333333333</v>
      </c>
      <c r="L25" s="4">
        <v>21261.166666666672</v>
      </c>
      <c r="M25" s="4">
        <v>1932.833333333333</v>
      </c>
      <c r="N25" s="4">
        <v>19328.333333333328</v>
      </c>
      <c r="O25" s="4">
        <v>1932.833333333333</v>
      </c>
      <c r="P25" s="4">
        <v>17395.5</v>
      </c>
      <c r="Q25" s="4">
        <v>1932.833333333333</v>
      </c>
      <c r="R25" s="4">
        <v>15462.66666666667</v>
      </c>
      <c r="S25" s="4">
        <v>15462.66666666667</v>
      </c>
    </row>
    <row r="26" spans="1:19" x14ac:dyDescent="0.3">
      <c r="A26" s="3" t="s">
        <v>132</v>
      </c>
      <c r="B26" s="3" t="s">
        <v>149</v>
      </c>
      <c r="C26" s="11">
        <v>45658</v>
      </c>
      <c r="D26" s="3" t="s">
        <v>134</v>
      </c>
      <c r="E26" s="3">
        <v>1251</v>
      </c>
      <c r="F26" s="4">
        <v>11861</v>
      </c>
      <c r="G26" s="11">
        <v>45658</v>
      </c>
      <c r="H26" s="11">
        <v>45992</v>
      </c>
      <c r="I26" s="3">
        <v>12</v>
      </c>
      <c r="J26" s="4">
        <v>988.41666666666663</v>
      </c>
      <c r="K26" s="4">
        <v>988.41666666666663</v>
      </c>
      <c r="L26" s="4">
        <v>10872.58333333333</v>
      </c>
      <c r="M26" s="4">
        <v>988.41666666666663</v>
      </c>
      <c r="N26" s="4">
        <v>9884.1666666666661</v>
      </c>
      <c r="O26" s="4">
        <v>988.41666666666663</v>
      </c>
      <c r="P26" s="4">
        <v>8895.75</v>
      </c>
      <c r="Q26" s="4">
        <v>988.41666666666663</v>
      </c>
      <c r="R26" s="4">
        <v>7907.3333333333339</v>
      </c>
      <c r="S26" s="4">
        <v>7907.3333333333339</v>
      </c>
    </row>
    <row r="27" spans="1:19" x14ac:dyDescent="0.3">
      <c r="A27" s="3" t="s">
        <v>132</v>
      </c>
      <c r="B27" s="3" t="s">
        <v>150</v>
      </c>
      <c r="C27" s="11">
        <v>45658</v>
      </c>
      <c r="D27" s="3" t="s">
        <v>134</v>
      </c>
      <c r="E27" s="3">
        <v>1251</v>
      </c>
      <c r="F27" s="4">
        <v>2193</v>
      </c>
      <c r="G27" s="11">
        <v>45658</v>
      </c>
      <c r="H27" s="11">
        <v>45992</v>
      </c>
      <c r="I27" s="3">
        <v>12</v>
      </c>
      <c r="J27" s="4">
        <v>182.75</v>
      </c>
      <c r="K27" s="4">
        <v>182.75</v>
      </c>
      <c r="L27" s="4">
        <v>2010.25</v>
      </c>
      <c r="M27" s="4">
        <v>182.75</v>
      </c>
      <c r="N27" s="4">
        <v>1827.5</v>
      </c>
      <c r="O27" s="4">
        <v>182.75</v>
      </c>
      <c r="P27" s="4">
        <v>1644.75</v>
      </c>
      <c r="Q27" s="4">
        <v>182.75</v>
      </c>
      <c r="R27" s="4">
        <v>1462</v>
      </c>
      <c r="S27" s="4">
        <v>1462</v>
      </c>
    </row>
    <row r="28" spans="1:19" x14ac:dyDescent="0.3">
      <c r="A28" s="3" t="s">
        <v>132</v>
      </c>
      <c r="B28" s="3" t="s">
        <v>151</v>
      </c>
      <c r="C28" s="11">
        <v>45658</v>
      </c>
      <c r="D28" s="3" t="s">
        <v>134</v>
      </c>
      <c r="E28" s="3">
        <v>1251</v>
      </c>
      <c r="F28" s="4">
        <v>23194</v>
      </c>
      <c r="G28" s="11">
        <v>45658</v>
      </c>
      <c r="H28" s="11">
        <v>45992</v>
      </c>
      <c r="I28" s="3">
        <v>12</v>
      </c>
      <c r="J28" s="4">
        <v>1932.833333333333</v>
      </c>
      <c r="K28" s="4">
        <v>1932.833333333333</v>
      </c>
      <c r="L28" s="4">
        <v>21261.166666666672</v>
      </c>
      <c r="M28" s="4">
        <v>1932.833333333333</v>
      </c>
      <c r="N28" s="4">
        <v>19328.333333333328</v>
      </c>
      <c r="O28" s="4">
        <v>1932.833333333333</v>
      </c>
      <c r="P28" s="4">
        <v>17395.5</v>
      </c>
      <c r="Q28" s="4">
        <v>1932.833333333333</v>
      </c>
      <c r="R28" s="4">
        <v>15462.66666666667</v>
      </c>
      <c r="S28" s="4">
        <v>15462.66666666667</v>
      </c>
    </row>
    <row r="29" spans="1:19" x14ac:dyDescent="0.3">
      <c r="A29" s="3" t="s">
        <v>132</v>
      </c>
      <c r="B29" s="3" t="s">
        <v>152</v>
      </c>
      <c r="C29" s="11">
        <v>45658</v>
      </c>
      <c r="D29" s="3" t="s">
        <v>134</v>
      </c>
      <c r="E29" s="3">
        <v>1251</v>
      </c>
      <c r="F29" s="4">
        <v>11861</v>
      </c>
      <c r="G29" s="11">
        <v>45658</v>
      </c>
      <c r="H29" s="11">
        <v>45992</v>
      </c>
      <c r="I29" s="3">
        <v>12</v>
      </c>
      <c r="J29" s="4">
        <v>988.41666666666663</v>
      </c>
      <c r="K29" s="4">
        <v>988.41666666666663</v>
      </c>
      <c r="L29" s="4">
        <v>10872.58333333333</v>
      </c>
      <c r="M29" s="4">
        <v>988.41666666666663</v>
      </c>
      <c r="N29" s="4">
        <v>9884.1666666666661</v>
      </c>
      <c r="O29" s="4">
        <v>988.41666666666663</v>
      </c>
      <c r="P29" s="4">
        <v>8895.75</v>
      </c>
      <c r="Q29" s="4">
        <v>988.41666666666663</v>
      </c>
      <c r="R29" s="4">
        <v>7907.3333333333339</v>
      </c>
      <c r="S29" s="4">
        <v>7907.3333333333339</v>
      </c>
    </row>
    <row r="30" spans="1:19" x14ac:dyDescent="0.3">
      <c r="A30" s="3" t="s">
        <v>132</v>
      </c>
      <c r="B30" s="3" t="s">
        <v>153</v>
      </c>
      <c r="C30" s="11">
        <v>45658</v>
      </c>
      <c r="D30" s="3" t="s">
        <v>134</v>
      </c>
      <c r="E30" s="3">
        <v>1251</v>
      </c>
      <c r="F30" s="4">
        <v>11259</v>
      </c>
      <c r="G30" s="11">
        <v>45658</v>
      </c>
      <c r="H30" s="11">
        <v>45992</v>
      </c>
      <c r="I30" s="3">
        <v>12</v>
      </c>
      <c r="J30" s="4">
        <v>938.25</v>
      </c>
      <c r="K30" s="4">
        <v>938.25</v>
      </c>
      <c r="L30" s="4">
        <v>10320.75</v>
      </c>
      <c r="M30" s="4">
        <v>938.25</v>
      </c>
      <c r="N30" s="4">
        <v>9382.5</v>
      </c>
      <c r="O30" s="4">
        <v>938.25</v>
      </c>
      <c r="P30" s="4">
        <v>8444.25</v>
      </c>
      <c r="Q30" s="4">
        <v>938.25</v>
      </c>
      <c r="R30" s="4">
        <v>7506</v>
      </c>
      <c r="S30" s="4">
        <v>7506</v>
      </c>
    </row>
    <row r="31" spans="1:19" x14ac:dyDescent="0.3">
      <c r="A31" s="3" t="s">
        <v>132</v>
      </c>
      <c r="B31" s="3" t="s">
        <v>154</v>
      </c>
      <c r="C31" s="11">
        <v>45658</v>
      </c>
      <c r="D31" s="3" t="s">
        <v>134</v>
      </c>
      <c r="E31" s="3">
        <v>1251</v>
      </c>
      <c r="F31" s="4">
        <v>33695</v>
      </c>
      <c r="G31" s="11">
        <v>45658</v>
      </c>
      <c r="H31" s="11">
        <v>45992</v>
      </c>
      <c r="I31" s="3">
        <v>12</v>
      </c>
      <c r="J31" s="4">
        <v>2807.916666666667</v>
      </c>
      <c r="K31" s="4">
        <v>2807.916666666667</v>
      </c>
      <c r="L31" s="4">
        <v>30887.083333333328</v>
      </c>
      <c r="M31" s="4">
        <v>2807.916666666667</v>
      </c>
      <c r="N31" s="4">
        <v>28079.166666666672</v>
      </c>
      <c r="O31" s="4">
        <v>2807.916666666667</v>
      </c>
      <c r="P31" s="4">
        <v>25271.25</v>
      </c>
      <c r="Q31" s="4">
        <v>2807.916666666667</v>
      </c>
      <c r="R31" s="4">
        <v>22463.333333333339</v>
      </c>
      <c r="S31" s="4">
        <v>22463.333333333339</v>
      </c>
    </row>
    <row r="32" spans="1:19" x14ac:dyDescent="0.3">
      <c r="A32" s="12" t="s">
        <v>115</v>
      </c>
      <c r="B32" s="13"/>
      <c r="C32" s="13"/>
      <c r="D32" s="13"/>
      <c r="E32" s="13"/>
      <c r="F32" s="14">
        <f>SUM(F7:F31)</f>
        <v>568698.22</v>
      </c>
      <c r="G32" s="13"/>
      <c r="H32" s="13"/>
      <c r="I32" s="13"/>
      <c r="J32" s="13"/>
      <c r="K32" s="14">
        <f t="shared" ref="K32:S32" si="0">SUM(K7:K31)</f>
        <v>45560.42833333333</v>
      </c>
      <c r="L32" s="14">
        <f t="shared" si="0"/>
        <v>506657.98166666663</v>
      </c>
      <c r="M32" s="14">
        <f t="shared" si="0"/>
        <v>51053.698333333334</v>
      </c>
      <c r="N32" s="14">
        <f t="shared" si="0"/>
        <v>461097.55333333334</v>
      </c>
      <c r="O32" s="14">
        <f t="shared" si="0"/>
        <v>51053.698333333334</v>
      </c>
      <c r="P32" s="14">
        <f t="shared" si="0"/>
        <v>415537.125</v>
      </c>
      <c r="Q32" s="14">
        <f t="shared" si="0"/>
        <v>51053.698333333334</v>
      </c>
      <c r="R32" s="14">
        <f t="shared" si="0"/>
        <v>369976.69666666666</v>
      </c>
      <c r="S32" s="14">
        <f t="shared" si="0"/>
        <v>369976.69666666666</v>
      </c>
    </row>
    <row r="35" spans="1:7" ht="15.6" x14ac:dyDescent="0.3">
      <c r="A35" s="8" t="s">
        <v>116</v>
      </c>
    </row>
    <row r="36" spans="1:7" x14ac:dyDescent="0.3">
      <c r="A36" s="15" t="s">
        <v>14</v>
      </c>
      <c r="B36" s="15" t="s">
        <v>117</v>
      </c>
      <c r="C36" s="15" t="s">
        <v>118</v>
      </c>
      <c r="D36" s="15" t="s">
        <v>119</v>
      </c>
      <c r="E36" s="15" t="s">
        <v>120</v>
      </c>
      <c r="F36" s="15" t="s">
        <v>121</v>
      </c>
      <c r="G36" s="15" t="s">
        <v>9</v>
      </c>
    </row>
    <row r="37" spans="1:7" x14ac:dyDescent="0.3">
      <c r="A37" t="s">
        <v>21</v>
      </c>
      <c r="B37" s="16">
        <v>0</v>
      </c>
      <c r="C37" s="16">
        <f>SUMPRODUCT((MONTH($C$7:$C$31)=1)*(YEAR($C$7:$C$31)=2025)*($F$7:$F$31))</f>
        <v>552218.41</v>
      </c>
      <c r="D37" s="16">
        <f>SUM(K7:K31)</f>
        <v>45560.42833333333</v>
      </c>
      <c r="E37" s="16">
        <f>ROUND(B37+C37-D37,2)</f>
        <v>506657.98</v>
      </c>
      <c r="F37" s="16">
        <v>506657.98</v>
      </c>
      <c r="G37" s="16">
        <f>ROUND(E37-F37,2)</f>
        <v>0</v>
      </c>
    </row>
    <row r="38" spans="1:7" x14ac:dyDescent="0.3">
      <c r="A38" t="s">
        <v>22</v>
      </c>
      <c r="B38" s="16">
        <f>E37</f>
        <v>506657.98</v>
      </c>
      <c r="C38" s="16">
        <f>SUMPRODUCT((MONTH($C$7:$C$31)=2)*(YEAR($C$7:$C$31)=2025)*($F$7:$F$31))</f>
        <v>5493.27</v>
      </c>
      <c r="D38" s="16">
        <f>SUM(M7:M31)</f>
        <v>51053.698333333334</v>
      </c>
      <c r="E38" s="16">
        <f>ROUND(B38+C38-D38,2)</f>
        <v>461097.55</v>
      </c>
      <c r="F38" s="16">
        <v>461097.55</v>
      </c>
      <c r="G38" s="16">
        <f>ROUND(E38-F38,2)</f>
        <v>0</v>
      </c>
    </row>
    <row r="39" spans="1:7" x14ac:dyDescent="0.3">
      <c r="A39" t="s">
        <v>23</v>
      </c>
      <c r="B39" s="16">
        <f>E38</f>
        <v>461097.55</v>
      </c>
      <c r="C39" s="16">
        <f>SUMPRODUCT((MONTH($C$7:$C$31)=3)*(YEAR($C$7:$C$31)=2025)*($F$7:$F$31))</f>
        <v>5493.27</v>
      </c>
      <c r="D39" s="16">
        <f>SUM(O7:O31)</f>
        <v>51053.698333333334</v>
      </c>
      <c r="E39" s="16">
        <f>ROUND(B39+C39-D39,2)</f>
        <v>415537.12</v>
      </c>
      <c r="F39" s="16">
        <v>415537.13</v>
      </c>
      <c r="G39" s="16">
        <f>ROUND(E39-F39,2)</f>
        <v>-0.01</v>
      </c>
    </row>
    <row r="40" spans="1:7" x14ac:dyDescent="0.3">
      <c r="A40" t="s">
        <v>24</v>
      </c>
      <c r="B40" s="16">
        <f>E39</f>
        <v>415537.12</v>
      </c>
      <c r="C40" s="16">
        <f>SUMPRODUCT((MONTH($C$7:$C$31)=4)*(YEAR($C$7:$C$31)=2025)*($F$7:$F$31))</f>
        <v>5493.27</v>
      </c>
      <c r="D40" s="16">
        <f>SUM(Q7:Q31)</f>
        <v>51053.698333333334</v>
      </c>
      <c r="E40" s="16">
        <f>ROUND(B40+C40-D40,2)</f>
        <v>369976.69</v>
      </c>
      <c r="F40" s="16">
        <v>369976.7</v>
      </c>
      <c r="G40" s="16">
        <f>ROUND(E40-F40,2)</f>
        <v>-0.01</v>
      </c>
    </row>
    <row r="41" spans="1:7" x14ac:dyDescent="0.3">
      <c r="A41" s="17" t="s">
        <v>122</v>
      </c>
      <c r="B41" s="18"/>
      <c r="C41" s="19">
        <f>SUM(C37:C40)</f>
        <v>568698.22000000009</v>
      </c>
      <c r="D41" s="19">
        <f>SUM(D37:D40)</f>
        <v>198721.52333333335</v>
      </c>
      <c r="E41" s="19">
        <f>E40</f>
        <v>369976.69</v>
      </c>
      <c r="F41" s="19">
        <v>369976.7</v>
      </c>
      <c r="G41" s="19">
        <f>ROUND(E41-F41,2)</f>
        <v>-0.01</v>
      </c>
    </row>
  </sheetData>
  <autoFilter ref="A6:S31" xr:uid="{00000000-0009-0000-0000-000002000000}"/>
  <mergeCells count="4">
    <mergeCell ref="A4:S4"/>
    <mergeCell ref="A3:S3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Prepaid Summary</vt:lpstr>
      <vt:lpstr>Prepaid Expenses</vt:lpstr>
      <vt:lpstr>Prepaid 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York Yong YEO (IRAS)</cp:lastModifiedBy>
  <dcterms:created xsi:type="dcterms:W3CDTF">2026-03-26T08:35:45Z</dcterms:created>
  <dcterms:modified xsi:type="dcterms:W3CDTF">2026-03-26T08:39:48Z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2026-03-26T08:39:27Z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eacc8067-37e8-4238-93f2-f925448d9abe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