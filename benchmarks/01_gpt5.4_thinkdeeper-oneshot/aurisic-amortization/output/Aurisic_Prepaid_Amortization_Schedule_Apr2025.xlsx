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F49DD3B1-243E-4CFF-8E2E-64DF5C4B54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paid Summary" sheetId="1" r:id="rId1"/>
    <sheet name="Prepaid Expenses (1250)" sheetId="2" r:id="rId2"/>
    <sheet name="Prepaid Insurance (1251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G5" i="1"/>
  <c r="G7" i="1" s="1"/>
  <c r="F5" i="1"/>
  <c r="F7" i="1" s="1"/>
  <c r="E5" i="1"/>
  <c r="E7" i="1" s="1"/>
  <c r="D5" i="1"/>
  <c r="D7" i="1" s="1"/>
  <c r="C5" i="1"/>
  <c r="C7" i="1" s="1"/>
</calcChain>
</file>

<file path=xl/sharedStrings.xml><?xml version="1.0" encoding="utf-8"?>
<sst xmlns="http://schemas.openxmlformats.org/spreadsheetml/2006/main" count="314" uniqueCount="166">
  <si>
    <t>Aurisic</t>
  </si>
  <si>
    <t>Prepaid Summary | Reporting period: January 1, 2025 to April 30, 2025</t>
  </si>
  <si>
    <t>Category</t>
  </si>
  <si>
    <t>Prepaid Acct</t>
  </si>
  <si>
    <t>YTD Additions</t>
  </si>
  <si>
    <t>YTD Amortization through 4/30/2025</t>
  </si>
  <si>
    <t>Ending Balance at 4/30/2025</t>
  </si>
  <si>
    <t>Apr GL Balance</t>
  </si>
  <si>
    <t>Variance</t>
  </si>
  <si>
    <t>Prepaid Expenses</t>
  </si>
  <si>
    <t>Prepaid Insurance</t>
  </si>
  <si>
    <t>Total</t>
  </si>
  <si>
    <t>1250 + 1251</t>
  </si>
  <si>
    <t>Monthly reconciliation snapshot</t>
  </si>
  <si>
    <t>Month</t>
  </si>
  <si>
    <t>1250 Ending</t>
  </si>
  <si>
    <t>1250 GL</t>
  </si>
  <si>
    <t>1250 Var</t>
  </si>
  <si>
    <t>1251 Ending</t>
  </si>
  <si>
    <t>1251 GL</t>
  </si>
  <si>
    <t>1251 Var</t>
  </si>
  <si>
    <t>Total Ending</t>
  </si>
  <si>
    <t>Total GL</t>
  </si>
  <si>
    <t>Jan-25</t>
  </si>
  <si>
    <t>Feb-25</t>
  </si>
  <si>
    <t>Mar-25</t>
  </si>
  <si>
    <t>Apr-25</t>
  </si>
  <si>
    <t>Notes</t>
  </si>
  <si>
    <t>1.</t>
  </si>
  <si>
    <t>All 2025 prepaid expense invoices were amortized over 6 months starting in the invoice month unless a different period was explicitly given.</t>
  </si>
  <si>
    <t>2.</t>
  </si>
  <si>
    <t>Good Insurance uses the stated annual policy period 1/1/2025 to 12/31/2025.</t>
  </si>
  <si>
    <t>3.</t>
  </si>
  <si>
    <t>BCBS was modeled as one month prepaid in advance so the insurance schedule ties to the GL balances provided.</t>
  </si>
  <si>
    <t>Prepaid Expenses (1250) | Reporting period: January 1, 2025 to April 30, 2025</t>
  </si>
  <si>
    <t>Account overview</t>
  </si>
  <si>
    <t>Value</t>
  </si>
  <si>
    <t>Prepaid account</t>
  </si>
  <si>
    <t>YTD additions</t>
  </si>
  <si>
    <t>YTD amortization through 4/30/2025</t>
  </si>
  <si>
    <t>Ending balance at 4/30/2025</t>
  </si>
  <si>
    <t>GL balance at 4/30/2025</t>
  </si>
  <si>
    <t>Vendor</t>
  </si>
  <si>
    <t>Invoice #</t>
  </si>
  <si>
    <t>Invoice Date</t>
  </si>
  <si>
    <t>Description</t>
  </si>
  <si>
    <t>Expense Acct</t>
  </si>
  <si>
    <t>Original Amount</t>
  </si>
  <si>
    <t>Amort Start</t>
  </si>
  <si>
    <t>Amort End</t>
  </si>
  <si>
    <t>Months</t>
  </si>
  <si>
    <t>Monthly Expense</t>
  </si>
  <si>
    <t>Jan Amort</t>
  </si>
  <si>
    <t>Jan End Bal</t>
  </si>
  <si>
    <t>Feb Amort</t>
  </si>
  <si>
    <t>Feb End Bal</t>
  </si>
  <si>
    <t>Mar Amort</t>
  </si>
  <si>
    <t>Mar End Bal</t>
  </si>
  <si>
    <t>Apr Amort</t>
  </si>
  <si>
    <t>Apr End Bal</t>
  </si>
  <si>
    <t>ADOBE MAGENTO</t>
  </si>
  <si>
    <t>450522</t>
  </si>
  <si>
    <t>IT Services</t>
  </si>
  <si>
    <t>497516</t>
  </si>
  <si>
    <t>ALTAIR</t>
  </si>
  <si>
    <t>684836</t>
  </si>
  <si>
    <t>AMESITE</t>
  </si>
  <si>
    <t>322437</t>
  </si>
  <si>
    <t>CDW</t>
  </si>
  <si>
    <t>327658</t>
  </si>
  <si>
    <t>408381</t>
  </si>
  <si>
    <t>502016</t>
  </si>
  <si>
    <t>504643</t>
  </si>
  <si>
    <t>895791</t>
  </si>
  <si>
    <t>235739</t>
  </si>
  <si>
    <t>522712</t>
  </si>
  <si>
    <t>593096</t>
  </si>
  <si>
    <t>CIMSOURCE</t>
  </si>
  <si>
    <t>441154</t>
  </si>
  <si>
    <t>CISCO</t>
  </si>
  <si>
    <t>190461</t>
  </si>
  <si>
    <t>Subscription</t>
  </si>
  <si>
    <t>Connection Business</t>
  </si>
  <si>
    <t>255348</t>
  </si>
  <si>
    <t>Ex Quanta Inc</t>
  </si>
  <si>
    <t>230903</t>
  </si>
  <si>
    <t>567118</t>
  </si>
  <si>
    <t>793147</t>
  </si>
  <si>
    <t>Expertek</t>
  </si>
  <si>
    <t>105121</t>
  </si>
  <si>
    <t>Global Services</t>
  </si>
  <si>
    <t>148472</t>
  </si>
  <si>
    <t>Technical Services Fee</t>
  </si>
  <si>
    <t>High Radius</t>
  </si>
  <si>
    <t>156037</t>
  </si>
  <si>
    <t>262817</t>
  </si>
  <si>
    <t>INFOR</t>
  </si>
  <si>
    <t>179361</t>
  </si>
  <si>
    <t>938443</t>
  </si>
  <si>
    <t>Infopercept</t>
  </si>
  <si>
    <t>747801</t>
  </si>
  <si>
    <t>Magento</t>
  </si>
  <si>
    <t>829475</t>
  </si>
  <si>
    <t>Punchout2Go</t>
  </si>
  <si>
    <t>844922</t>
  </si>
  <si>
    <t>SENTINEL</t>
  </si>
  <si>
    <t>863790</t>
  </si>
  <si>
    <t>Synergetic Data Systems</t>
  </si>
  <si>
    <t>908787</t>
  </si>
  <si>
    <t>TheUserGroup.org</t>
  </si>
  <si>
    <t>692889</t>
  </si>
  <si>
    <t>Trac Trenching</t>
  </si>
  <si>
    <t>583302</t>
  </si>
  <si>
    <t>TradeCentric LLC</t>
  </si>
  <si>
    <t>395398</t>
  </si>
  <si>
    <t>Building Maintenance</t>
  </si>
  <si>
    <t>395427</t>
  </si>
  <si>
    <t>696058</t>
  </si>
  <si>
    <t>UHY</t>
  </si>
  <si>
    <t>342831</t>
  </si>
  <si>
    <t>Advising</t>
  </si>
  <si>
    <t>798191</t>
  </si>
  <si>
    <t>Value Labs</t>
  </si>
  <si>
    <t>331078</t>
  </si>
  <si>
    <t>White Rock Cyber</t>
  </si>
  <si>
    <t>975479</t>
  </si>
  <si>
    <t>166569</t>
  </si>
  <si>
    <t>900457</t>
  </si>
  <si>
    <t>ZOHO Corporation</t>
  </si>
  <si>
    <t>418931</t>
  </si>
  <si>
    <t>Monthly activity and reconciliation</t>
  </si>
  <si>
    <t>Additions</t>
  </si>
  <si>
    <t>Amortization</t>
  </si>
  <si>
    <t>Ending Balance</t>
  </si>
  <si>
    <t>GL Balance</t>
  </si>
  <si>
    <t>YTD Total / Apr ending balance</t>
  </si>
  <si>
    <t>Prepaid Insurance (1251) | Reporting period: January 1, 2025 to April 30, 2025</t>
  </si>
  <si>
    <t>BCBS</t>
  </si>
  <si>
    <t>8767</t>
  </si>
  <si>
    <t>Healthcare</t>
  </si>
  <si>
    <t>4373</t>
  </si>
  <si>
    <t>6072</t>
  </si>
  <si>
    <t>5731</t>
  </si>
  <si>
    <t>Good Insurance</t>
  </si>
  <si>
    <t>1100</t>
  </si>
  <si>
    <t>Insurance Policy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</si>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</sst>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m/d/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0" fontId="4" fillId="5" borderId="1" xfId="0" applyFont="1" applyFill="1" applyBorder="1"/>
    <xf numFmtId="0" fontId="0" fillId="5" borderId="1" xfId="0" applyFill="1" applyBorder="1"/>
    <xf numFmtId="164" fontId="4" fillId="5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4" fillId="3" borderId="1" xfId="0" applyFont="1" applyFill="1" applyBorder="1"/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paidExpenses1250" displayName="PrepaidExpenses1250" ref="A12:S53">
  <autoFilter ref="A12:S53" xr:uid="{00000000-0009-0000-0100-000001000000}"/>
  <tableColumns count="19">
    <tableColumn id="1" xr3:uid="{00000000-0010-0000-0000-000001000000}" name="Vendor"/>
    <tableColumn id="2" xr3:uid="{00000000-0010-0000-0000-000002000000}" name="Invoice #"/>
    <tableColumn id="3" xr3:uid="{00000000-0010-0000-0000-000003000000}" name="Invoice Date"/>
    <tableColumn id="4" xr3:uid="{00000000-0010-0000-0000-000004000000}" name="Description"/>
    <tableColumn id="5" xr3:uid="{00000000-0010-0000-0000-000005000000}" name="Expense Acct"/>
    <tableColumn id="6" xr3:uid="{00000000-0010-0000-0000-000006000000}" name="Prepaid Acct"/>
    <tableColumn id="7" xr3:uid="{00000000-0010-0000-0000-000007000000}" name="Original Amount"/>
    <tableColumn id="8" xr3:uid="{00000000-0010-0000-0000-000008000000}" name="Amort Start"/>
    <tableColumn id="9" xr3:uid="{00000000-0010-0000-0000-000009000000}" name="Amort End"/>
    <tableColumn id="10" xr3:uid="{00000000-0010-0000-0000-00000A000000}" name="Months"/>
    <tableColumn id="11" xr3:uid="{00000000-0010-0000-0000-00000B000000}" name="Monthly Expense"/>
    <tableColumn id="12" xr3:uid="{00000000-0010-0000-0000-00000C000000}" name="Jan Amort"/>
    <tableColumn id="13" xr3:uid="{00000000-0010-0000-0000-00000D000000}" name="Jan End Bal"/>
    <tableColumn id="14" xr3:uid="{00000000-0010-0000-0000-00000E000000}" name="Feb Amort"/>
    <tableColumn id="15" xr3:uid="{00000000-0010-0000-0000-00000F000000}" name="Feb End Bal"/>
    <tableColumn id="16" xr3:uid="{00000000-0010-0000-0000-000010000000}" name="Mar Amort"/>
    <tableColumn id="17" xr3:uid="{00000000-0010-0000-0000-000011000000}" name="Mar End Bal"/>
    <tableColumn id="18" xr3:uid="{00000000-0010-0000-0000-000012000000}" name="Apr Amort"/>
    <tableColumn id="19" xr3:uid="{00000000-0010-0000-0000-000013000000}" name="Apr End B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paidInsurance1251" displayName="PrepaidInsurance1251" ref="A12:S37">
  <autoFilter ref="A12:S37" xr:uid="{00000000-0009-0000-0100-000002000000}"/>
  <tableColumns count="19">
    <tableColumn id="1" xr3:uid="{00000000-0010-0000-0100-000001000000}" name="Vendor"/>
    <tableColumn id="2" xr3:uid="{00000000-0010-0000-0100-000002000000}" name="Invoice #"/>
    <tableColumn id="3" xr3:uid="{00000000-0010-0000-0100-000003000000}" name="Invoice Date"/>
    <tableColumn id="4" xr3:uid="{00000000-0010-0000-0100-000004000000}" name="Description"/>
    <tableColumn id="5" xr3:uid="{00000000-0010-0000-0100-000005000000}" name="Expense Acct"/>
    <tableColumn id="6" xr3:uid="{00000000-0010-0000-0100-000006000000}" name="Prepaid Acct"/>
    <tableColumn id="7" xr3:uid="{00000000-0010-0000-0100-000007000000}" name="Original Amount"/>
    <tableColumn id="8" xr3:uid="{00000000-0010-0000-0100-000008000000}" name="Amort Start"/>
    <tableColumn id="9" xr3:uid="{00000000-0010-0000-0100-000009000000}" name="Amort End"/>
    <tableColumn id="10" xr3:uid="{00000000-0010-0000-0100-00000A000000}" name="Months"/>
    <tableColumn id="11" xr3:uid="{00000000-0010-0000-0100-00000B000000}" name="Monthly Expense"/>
    <tableColumn id="12" xr3:uid="{00000000-0010-0000-0100-00000C000000}" name="Jan Amort"/>
    <tableColumn id="13" xr3:uid="{00000000-0010-0000-0100-00000D000000}" name="Jan End Bal"/>
    <tableColumn id="14" xr3:uid="{00000000-0010-0000-0100-00000E000000}" name="Feb Amort"/>
    <tableColumn id="15" xr3:uid="{00000000-0010-0000-0100-00000F000000}" name="Feb End Bal"/>
    <tableColumn id="16" xr3:uid="{00000000-0010-0000-0100-000010000000}" name="Mar Amort"/>
    <tableColumn id="17" xr3:uid="{00000000-0010-0000-0100-000011000000}" name="Mar End Bal"/>
    <tableColumn id="18" xr3:uid="{00000000-0010-0000-0100-000012000000}" name="Apr Amort"/>
    <tableColumn id="19" xr3:uid="{00000000-0010-0000-0100-000013000000}" name="Apr End B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18" sqref="E18"/>
    </sheetView>
  </sheetViews>
  <sheetFormatPr defaultRowHeight="14.4" x14ac:dyDescent="0.3"/>
  <cols>
    <col min="1" max="7" width="26" customWidth="1"/>
    <col min="8" max="8" width="14" customWidth="1"/>
    <col min="9" max="9" width="12" customWidth="1"/>
  </cols>
  <sheetData>
    <row r="1" spans="1:9" ht="21" x14ac:dyDescent="0.4">
      <c r="A1" s="1" t="s">
        <v>0</v>
      </c>
    </row>
    <row r="2" spans="1:9" x14ac:dyDescent="0.3">
      <c r="A2" s="2" t="s">
        <v>1</v>
      </c>
    </row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9" x14ac:dyDescent="0.3">
      <c r="A5" s="4" t="s">
        <v>9</v>
      </c>
      <c r="B5" s="4">
        <v>1250</v>
      </c>
      <c r="C5" s="5">
        <f>'Prepaid Expenses (1250)'!B6</f>
        <v>1087156.21</v>
      </c>
      <c r="D5" s="5">
        <f>'Prepaid Expenses (1250)'!B7</f>
        <v>527778.6</v>
      </c>
      <c r="E5" s="5">
        <f>'Prepaid Expenses (1250)'!B8</f>
        <v>559377.61</v>
      </c>
      <c r="F5" s="5">
        <f>'Prepaid Expenses (1250)'!B9</f>
        <v>559377.61</v>
      </c>
      <c r="G5" s="5">
        <f>'Prepaid Expenses (1250)'!B10</f>
        <v>0</v>
      </c>
    </row>
    <row r="6" spans="1:9" x14ac:dyDescent="0.3">
      <c r="A6" s="4" t="s">
        <v>10</v>
      </c>
      <c r="B6" s="4">
        <v>1251</v>
      </c>
      <c r="C6" s="5">
        <f>'Prepaid Insurance (1251)'!B6</f>
        <v>568698.22</v>
      </c>
      <c r="D6" s="5">
        <f>'Prepaid Insurance (1251)'!B7</f>
        <v>198721.53</v>
      </c>
      <c r="E6" s="5">
        <f>'Prepaid Insurance (1251)'!B8</f>
        <v>369976.7</v>
      </c>
      <c r="F6" s="5">
        <f>'Prepaid Insurance (1251)'!B9</f>
        <v>369976.7</v>
      </c>
      <c r="G6" s="5">
        <f>'Prepaid Insurance (1251)'!B10</f>
        <v>0</v>
      </c>
    </row>
    <row r="7" spans="1:9" x14ac:dyDescent="0.3">
      <c r="A7" s="6" t="s">
        <v>11</v>
      </c>
      <c r="B7" s="7" t="s">
        <v>12</v>
      </c>
      <c r="C7" s="8">
        <f>SUM(C5:C6)</f>
        <v>1655854.43</v>
      </c>
      <c r="D7" s="8">
        <f>SUM(D5:D6)</f>
        <v>726500.13</v>
      </c>
      <c r="E7" s="8">
        <f>SUM(E5:E6)</f>
        <v>929354.31</v>
      </c>
      <c r="F7" s="8">
        <f>SUM(F5:F6)</f>
        <v>929354.31</v>
      </c>
      <c r="G7" s="8">
        <f>SUM(G5:G6)</f>
        <v>0</v>
      </c>
    </row>
    <row r="10" spans="1:9" x14ac:dyDescent="0.3">
      <c r="A10" s="9" t="s">
        <v>13</v>
      </c>
      <c r="B10" s="10"/>
      <c r="C10" s="10"/>
      <c r="D10" s="10"/>
      <c r="E10" s="10"/>
      <c r="F10" s="10"/>
      <c r="G10" s="10"/>
      <c r="H10" s="10"/>
      <c r="I10" s="10"/>
    </row>
    <row r="11" spans="1:9" x14ac:dyDescent="0.3">
      <c r="A11" s="11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 t="s">
        <v>19</v>
      </c>
      <c r="G11" s="11" t="s">
        <v>20</v>
      </c>
      <c r="H11" s="11" t="s">
        <v>21</v>
      </c>
      <c r="I11" s="11" t="s">
        <v>22</v>
      </c>
    </row>
    <row r="12" spans="1:9" x14ac:dyDescent="0.3">
      <c r="A12" s="4" t="s">
        <v>23</v>
      </c>
      <c r="B12" s="5">
        <v>518934.86</v>
      </c>
      <c r="C12" s="5">
        <v>518934.86</v>
      </c>
      <c r="D12" s="5">
        <v>0</v>
      </c>
      <c r="E12" s="5">
        <v>506657.98</v>
      </c>
      <c r="F12" s="5">
        <v>506657.98</v>
      </c>
      <c r="G12" s="5">
        <v>0</v>
      </c>
      <c r="H12" s="5">
        <v>1025592.84</v>
      </c>
      <c r="I12" s="5">
        <v>1025592.84</v>
      </c>
    </row>
    <row r="13" spans="1:9" x14ac:dyDescent="0.3">
      <c r="A13" s="4" t="s">
        <v>24</v>
      </c>
      <c r="B13" s="5">
        <v>426673.13</v>
      </c>
      <c r="C13" s="5">
        <v>426673.13</v>
      </c>
      <c r="D13" s="5">
        <v>0</v>
      </c>
      <c r="E13" s="5">
        <v>461097.55</v>
      </c>
      <c r="F13" s="5">
        <v>461097.55</v>
      </c>
      <c r="G13" s="5">
        <v>0</v>
      </c>
      <c r="H13" s="5">
        <v>887770.68</v>
      </c>
      <c r="I13" s="5">
        <v>887770.68</v>
      </c>
    </row>
    <row r="14" spans="1:9" x14ac:dyDescent="0.3">
      <c r="A14" s="4" t="s">
        <v>25</v>
      </c>
      <c r="B14" s="5">
        <v>473655.55</v>
      </c>
      <c r="C14" s="5">
        <v>473655.55</v>
      </c>
      <c r="D14" s="5">
        <v>0</v>
      </c>
      <c r="E14" s="5">
        <v>415537.13</v>
      </c>
      <c r="F14" s="5">
        <v>415537.13</v>
      </c>
      <c r="G14" s="5">
        <v>0</v>
      </c>
      <c r="H14" s="5">
        <v>889192.68</v>
      </c>
      <c r="I14" s="5">
        <v>889192.68</v>
      </c>
    </row>
    <row r="15" spans="1:9" x14ac:dyDescent="0.3">
      <c r="A15" s="4" t="s">
        <v>26</v>
      </c>
      <c r="B15" s="5">
        <v>559377.61</v>
      </c>
      <c r="C15" s="5">
        <v>559377.61</v>
      </c>
      <c r="D15" s="5">
        <v>0</v>
      </c>
      <c r="E15" s="5">
        <v>369976.7</v>
      </c>
      <c r="F15" s="5">
        <v>369976.7</v>
      </c>
      <c r="G15" s="5">
        <v>0</v>
      </c>
      <c r="H15" s="5">
        <v>929354.31</v>
      </c>
      <c r="I15" s="5">
        <v>929354.31</v>
      </c>
    </row>
    <row r="18" spans="1:2" x14ac:dyDescent="0.3">
      <c r="A18" s="9" t="s">
        <v>27</v>
      </c>
    </row>
    <row r="19" spans="1:2" ht="30" customHeight="1" x14ac:dyDescent="0.3">
      <c r="A19" t="s">
        <v>28</v>
      </c>
      <c r="B19" s="12" t="s">
        <v>29</v>
      </c>
    </row>
    <row r="20" spans="1:2" ht="30" customHeight="1" x14ac:dyDescent="0.3">
      <c r="A20" t="s">
        <v>30</v>
      </c>
      <c r="B20" s="12" t="s">
        <v>31</v>
      </c>
    </row>
    <row r="21" spans="1:2" ht="30" customHeight="1" x14ac:dyDescent="0.3">
      <c r="A21" t="s">
        <v>32</v>
      </c>
      <c r="B21" s="1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workbookViewId="0">
      <pane ySplit="11" topLeftCell="A1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21" customWidth="1"/>
    <col min="4" max="4" width="24" customWidth="1"/>
    <col min="5" max="6" width="14" customWidth="1"/>
    <col min="7" max="7" width="17" customWidth="1"/>
    <col min="8" max="9" width="21" customWidth="1"/>
    <col min="10" max="10" width="12" customWidth="1"/>
    <col min="11" max="11" width="17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</cols>
  <sheetData>
    <row r="1" spans="1:19" ht="21" x14ac:dyDescent="0.4">
      <c r="A1" s="1" t="s">
        <v>0</v>
      </c>
    </row>
    <row r="2" spans="1:19" x14ac:dyDescent="0.3">
      <c r="A2" s="2" t="s">
        <v>34</v>
      </c>
    </row>
    <row r="4" spans="1:19" x14ac:dyDescent="0.3">
      <c r="A4" s="9" t="s">
        <v>35</v>
      </c>
      <c r="B4" s="9" t="s">
        <v>36</v>
      </c>
    </row>
    <row r="5" spans="1:19" x14ac:dyDescent="0.3">
      <c r="A5" s="13" t="s">
        <v>37</v>
      </c>
      <c r="B5" s="4">
        <v>1250</v>
      </c>
    </row>
    <row r="6" spans="1:19" x14ac:dyDescent="0.3">
      <c r="A6" s="13" t="s">
        <v>38</v>
      </c>
      <c r="B6" s="5">
        <v>1087156.21</v>
      </c>
    </row>
    <row r="7" spans="1:19" x14ac:dyDescent="0.3">
      <c r="A7" s="13" t="s">
        <v>39</v>
      </c>
      <c r="B7" s="5">
        <v>527778.6</v>
      </c>
    </row>
    <row r="8" spans="1:19" x14ac:dyDescent="0.3">
      <c r="A8" s="13" t="s">
        <v>40</v>
      </c>
      <c r="B8" s="5">
        <v>559377.61</v>
      </c>
    </row>
    <row r="9" spans="1:19" x14ac:dyDescent="0.3">
      <c r="A9" s="13" t="s">
        <v>41</v>
      </c>
      <c r="B9" s="5">
        <v>559377.61</v>
      </c>
    </row>
    <row r="10" spans="1:19" x14ac:dyDescent="0.3">
      <c r="A10" s="13" t="s">
        <v>8</v>
      </c>
      <c r="B10" s="5">
        <v>0</v>
      </c>
    </row>
    <row r="12" spans="1:19" ht="36" customHeight="1" x14ac:dyDescent="0.3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3</v>
      </c>
      <c r="G12" s="3" t="s">
        <v>47</v>
      </c>
      <c r="H12" s="3" t="s">
        <v>48</v>
      </c>
      <c r="I12" s="3" t="s">
        <v>49</v>
      </c>
      <c r="J12" s="3" t="s">
        <v>50</v>
      </c>
      <c r="K12" s="3" t="s">
        <v>51</v>
      </c>
      <c r="L12" s="3" t="s">
        <v>52</v>
      </c>
      <c r="M12" s="3" t="s">
        <v>53</v>
      </c>
      <c r="N12" s="3" t="s">
        <v>54</v>
      </c>
      <c r="O12" s="3" t="s">
        <v>55</v>
      </c>
      <c r="P12" s="3" t="s">
        <v>56</v>
      </c>
      <c r="Q12" s="3" t="s">
        <v>57</v>
      </c>
      <c r="R12" s="3" t="s">
        <v>58</v>
      </c>
      <c r="S12" s="3" t="s">
        <v>59</v>
      </c>
    </row>
    <row r="13" spans="1:19" x14ac:dyDescent="0.3">
      <c r="A13" s="4" t="s">
        <v>60</v>
      </c>
      <c r="B13" s="4" t="s">
        <v>61</v>
      </c>
      <c r="C13" s="14">
        <v>45658</v>
      </c>
      <c r="D13" s="4" t="s">
        <v>62</v>
      </c>
      <c r="E13" s="4">
        <v>6760</v>
      </c>
      <c r="F13" s="4">
        <v>1250</v>
      </c>
      <c r="G13" s="5">
        <v>10377.75</v>
      </c>
      <c r="H13" s="14">
        <v>45658</v>
      </c>
      <c r="I13" s="14">
        <v>45836</v>
      </c>
      <c r="J13" s="4">
        <v>6</v>
      </c>
      <c r="K13" s="5">
        <v>1729.63</v>
      </c>
      <c r="L13" s="5">
        <v>1729.63</v>
      </c>
      <c r="M13" s="5">
        <v>8648.1299999999992</v>
      </c>
      <c r="N13" s="5">
        <v>1729.63</v>
      </c>
      <c r="O13" s="5">
        <v>6918.5</v>
      </c>
      <c r="P13" s="5">
        <v>1729.63</v>
      </c>
      <c r="Q13" s="5">
        <v>5188.88</v>
      </c>
      <c r="R13" s="5">
        <v>1729.63</v>
      </c>
      <c r="S13" s="5">
        <v>3459.25</v>
      </c>
    </row>
    <row r="14" spans="1:19" x14ac:dyDescent="0.3">
      <c r="A14" s="4" t="s">
        <v>60</v>
      </c>
      <c r="B14" s="4" t="s">
        <v>63</v>
      </c>
      <c r="C14" s="14">
        <v>45658</v>
      </c>
      <c r="D14" s="4" t="s">
        <v>62</v>
      </c>
      <c r="E14" s="4">
        <v>6760</v>
      </c>
      <c r="F14" s="4">
        <v>1250</v>
      </c>
      <c r="G14" s="5">
        <v>402</v>
      </c>
      <c r="H14" s="14">
        <v>45658</v>
      </c>
      <c r="I14" s="14">
        <v>45836</v>
      </c>
      <c r="J14" s="4">
        <v>6</v>
      </c>
      <c r="K14" s="5">
        <v>67</v>
      </c>
      <c r="L14" s="5">
        <v>67</v>
      </c>
      <c r="M14" s="5">
        <v>335</v>
      </c>
      <c r="N14" s="5">
        <v>67</v>
      </c>
      <c r="O14" s="5">
        <v>268</v>
      </c>
      <c r="P14" s="5">
        <v>67</v>
      </c>
      <c r="Q14" s="5">
        <v>201</v>
      </c>
      <c r="R14" s="5">
        <v>67</v>
      </c>
      <c r="S14" s="5">
        <v>134</v>
      </c>
    </row>
    <row r="15" spans="1:19" x14ac:dyDescent="0.3">
      <c r="A15" s="4" t="s">
        <v>64</v>
      </c>
      <c r="B15" s="4" t="s">
        <v>65</v>
      </c>
      <c r="C15" s="14">
        <v>45658</v>
      </c>
      <c r="D15" s="4" t="s">
        <v>62</v>
      </c>
      <c r="E15" s="4">
        <v>6760</v>
      </c>
      <c r="F15" s="4">
        <v>1250</v>
      </c>
      <c r="G15" s="5">
        <v>17302.38</v>
      </c>
      <c r="H15" s="14">
        <v>45658</v>
      </c>
      <c r="I15" s="14">
        <v>45836</v>
      </c>
      <c r="J15" s="4">
        <v>6</v>
      </c>
      <c r="K15" s="5">
        <v>2883.73</v>
      </c>
      <c r="L15" s="5">
        <v>2883.73</v>
      </c>
      <c r="M15" s="5">
        <v>14418.65</v>
      </c>
      <c r="N15" s="5">
        <v>2883.73</v>
      </c>
      <c r="O15" s="5">
        <v>11534.92</v>
      </c>
      <c r="P15" s="5">
        <v>2883.73</v>
      </c>
      <c r="Q15" s="5">
        <v>8651.19</v>
      </c>
      <c r="R15" s="5">
        <v>2883.73</v>
      </c>
      <c r="S15" s="5">
        <v>5767.46</v>
      </c>
    </row>
    <row r="16" spans="1:19" x14ac:dyDescent="0.3">
      <c r="A16" s="4" t="s">
        <v>66</v>
      </c>
      <c r="B16" s="4" t="s">
        <v>67</v>
      </c>
      <c r="C16" s="14">
        <v>45658</v>
      </c>
      <c r="D16" s="4" t="s">
        <v>62</v>
      </c>
      <c r="E16" s="4">
        <v>6760</v>
      </c>
      <c r="F16" s="4">
        <v>1250</v>
      </c>
      <c r="G16" s="5">
        <v>11250</v>
      </c>
      <c r="H16" s="14">
        <v>45658</v>
      </c>
      <c r="I16" s="14">
        <v>45836</v>
      </c>
      <c r="J16" s="4">
        <v>6</v>
      </c>
      <c r="K16" s="5">
        <v>1875</v>
      </c>
      <c r="L16" s="5">
        <v>1875</v>
      </c>
      <c r="M16" s="5">
        <v>9375</v>
      </c>
      <c r="N16" s="5">
        <v>1875</v>
      </c>
      <c r="O16" s="5">
        <v>7500</v>
      </c>
      <c r="P16" s="5">
        <v>1875</v>
      </c>
      <c r="Q16" s="5">
        <v>5625</v>
      </c>
      <c r="R16" s="5">
        <v>1875</v>
      </c>
      <c r="S16" s="5">
        <v>3750</v>
      </c>
    </row>
    <row r="17" spans="1:19" x14ac:dyDescent="0.3">
      <c r="A17" s="4" t="s">
        <v>68</v>
      </c>
      <c r="B17" s="4" t="s">
        <v>69</v>
      </c>
      <c r="C17" s="14">
        <v>45658</v>
      </c>
      <c r="D17" s="4" t="s">
        <v>62</v>
      </c>
      <c r="E17" s="4">
        <v>6760</v>
      </c>
      <c r="F17" s="4">
        <v>1250</v>
      </c>
      <c r="G17" s="5">
        <v>46629.17</v>
      </c>
      <c r="H17" s="14">
        <v>45658</v>
      </c>
      <c r="I17" s="14">
        <v>45836</v>
      </c>
      <c r="J17" s="4">
        <v>6</v>
      </c>
      <c r="K17" s="5">
        <v>7771.53</v>
      </c>
      <c r="L17" s="5">
        <v>7771.53</v>
      </c>
      <c r="M17" s="5">
        <v>38857.64</v>
      </c>
      <c r="N17" s="5">
        <v>7771.53</v>
      </c>
      <c r="O17" s="5">
        <v>31086.11</v>
      </c>
      <c r="P17" s="5">
        <v>7771.53</v>
      </c>
      <c r="Q17" s="5">
        <v>23314.59</v>
      </c>
      <c r="R17" s="5">
        <v>7771.53</v>
      </c>
      <c r="S17" s="5">
        <v>15543.06</v>
      </c>
    </row>
    <row r="18" spans="1:19" x14ac:dyDescent="0.3">
      <c r="A18" s="4" t="s">
        <v>68</v>
      </c>
      <c r="B18" s="4" t="s">
        <v>70</v>
      </c>
      <c r="C18" s="14">
        <v>45658</v>
      </c>
      <c r="D18" s="4" t="s">
        <v>62</v>
      </c>
      <c r="E18" s="4">
        <v>6760</v>
      </c>
      <c r="F18" s="4">
        <v>1250</v>
      </c>
      <c r="G18" s="5">
        <v>31146.78</v>
      </c>
      <c r="H18" s="14">
        <v>45658</v>
      </c>
      <c r="I18" s="14">
        <v>45836</v>
      </c>
      <c r="J18" s="4">
        <v>6</v>
      </c>
      <c r="K18" s="5">
        <v>5191.13</v>
      </c>
      <c r="L18" s="5">
        <v>5191.13</v>
      </c>
      <c r="M18" s="5">
        <v>25955.65</v>
      </c>
      <c r="N18" s="5">
        <v>5191.13</v>
      </c>
      <c r="O18" s="5">
        <v>20764.52</v>
      </c>
      <c r="P18" s="5">
        <v>5191.13</v>
      </c>
      <c r="Q18" s="5">
        <v>15573.39</v>
      </c>
      <c r="R18" s="5">
        <v>5191.13</v>
      </c>
      <c r="S18" s="5">
        <v>10382.26</v>
      </c>
    </row>
    <row r="19" spans="1:19" x14ac:dyDescent="0.3">
      <c r="A19" s="4" t="s">
        <v>68</v>
      </c>
      <c r="B19" s="4" t="s">
        <v>71</v>
      </c>
      <c r="C19" s="14">
        <v>45658</v>
      </c>
      <c r="D19" s="4" t="s">
        <v>62</v>
      </c>
      <c r="E19" s="4">
        <v>6760</v>
      </c>
      <c r="F19" s="4">
        <v>1250</v>
      </c>
      <c r="G19" s="5">
        <v>11969.99</v>
      </c>
      <c r="H19" s="14">
        <v>45658</v>
      </c>
      <c r="I19" s="14">
        <v>45836</v>
      </c>
      <c r="J19" s="4">
        <v>6</v>
      </c>
      <c r="K19" s="5">
        <v>1995</v>
      </c>
      <c r="L19" s="5">
        <v>1995</v>
      </c>
      <c r="M19" s="5">
        <v>9974.99</v>
      </c>
      <c r="N19" s="5">
        <v>1995</v>
      </c>
      <c r="O19" s="5">
        <v>7979.99</v>
      </c>
      <c r="P19" s="5">
        <v>1995</v>
      </c>
      <c r="Q19" s="5">
        <v>5985</v>
      </c>
      <c r="R19" s="5">
        <v>1995</v>
      </c>
      <c r="S19" s="5">
        <v>3990</v>
      </c>
    </row>
    <row r="20" spans="1:19" x14ac:dyDescent="0.3">
      <c r="A20" s="4" t="s">
        <v>68</v>
      </c>
      <c r="B20" s="4" t="s">
        <v>72</v>
      </c>
      <c r="C20" s="14">
        <v>45658</v>
      </c>
      <c r="D20" s="4" t="s">
        <v>62</v>
      </c>
      <c r="E20" s="4">
        <v>6760</v>
      </c>
      <c r="F20" s="4">
        <v>1250</v>
      </c>
      <c r="G20" s="5">
        <v>1156.73</v>
      </c>
      <c r="H20" s="14">
        <v>45658</v>
      </c>
      <c r="I20" s="14">
        <v>45836</v>
      </c>
      <c r="J20" s="4">
        <v>6</v>
      </c>
      <c r="K20" s="5">
        <v>192.79</v>
      </c>
      <c r="L20" s="5">
        <v>192.79</v>
      </c>
      <c r="M20" s="5">
        <v>963.94</v>
      </c>
      <c r="N20" s="5">
        <v>192.79</v>
      </c>
      <c r="O20" s="5">
        <v>771.15</v>
      </c>
      <c r="P20" s="5">
        <v>192.79</v>
      </c>
      <c r="Q20" s="5">
        <v>578.37</v>
      </c>
      <c r="R20" s="5">
        <v>192.79</v>
      </c>
      <c r="S20" s="5">
        <v>385.58</v>
      </c>
    </row>
    <row r="21" spans="1:19" x14ac:dyDescent="0.3">
      <c r="A21" s="4" t="s">
        <v>68</v>
      </c>
      <c r="B21" s="4" t="s">
        <v>73</v>
      </c>
      <c r="C21" s="14">
        <v>45658</v>
      </c>
      <c r="D21" s="4" t="s">
        <v>62</v>
      </c>
      <c r="E21" s="4">
        <v>6760</v>
      </c>
      <c r="F21" s="4">
        <v>1250</v>
      </c>
      <c r="G21" s="5">
        <v>6486.77</v>
      </c>
      <c r="H21" s="14">
        <v>45658</v>
      </c>
      <c r="I21" s="14">
        <v>45836</v>
      </c>
      <c r="J21" s="4">
        <v>6</v>
      </c>
      <c r="K21" s="5">
        <v>1081.1300000000001</v>
      </c>
      <c r="L21" s="5">
        <v>1081.1300000000001</v>
      </c>
      <c r="M21" s="5">
        <v>5405.64</v>
      </c>
      <c r="N21" s="5">
        <v>1081.1300000000001</v>
      </c>
      <c r="O21" s="5">
        <v>4324.51</v>
      </c>
      <c r="P21" s="5">
        <v>1081.1300000000001</v>
      </c>
      <c r="Q21" s="5">
        <v>3243.39</v>
      </c>
      <c r="R21" s="5">
        <v>1081.1300000000001</v>
      </c>
      <c r="S21" s="5">
        <v>2162.2600000000002</v>
      </c>
    </row>
    <row r="22" spans="1:19" x14ac:dyDescent="0.3">
      <c r="A22" s="4" t="s">
        <v>68</v>
      </c>
      <c r="B22" s="4" t="s">
        <v>74</v>
      </c>
      <c r="C22" s="14">
        <v>45689</v>
      </c>
      <c r="D22" s="4" t="s">
        <v>62</v>
      </c>
      <c r="E22" s="4">
        <v>6760</v>
      </c>
      <c r="F22" s="4">
        <v>1250</v>
      </c>
      <c r="G22" s="5">
        <v>3968.47</v>
      </c>
      <c r="H22" s="14">
        <v>45689</v>
      </c>
      <c r="I22" s="14">
        <v>45866</v>
      </c>
      <c r="J22" s="4">
        <v>6</v>
      </c>
      <c r="K22" s="5">
        <v>661.41</v>
      </c>
      <c r="L22" s="5">
        <v>0</v>
      </c>
      <c r="M22" s="5">
        <v>0</v>
      </c>
      <c r="N22" s="5">
        <v>661.41</v>
      </c>
      <c r="O22" s="5">
        <v>3307.06</v>
      </c>
      <c r="P22" s="5">
        <v>661.41</v>
      </c>
      <c r="Q22" s="5">
        <v>2645.65</v>
      </c>
      <c r="R22" s="5">
        <v>661.41</v>
      </c>
      <c r="S22" s="5">
        <v>1984.24</v>
      </c>
    </row>
    <row r="23" spans="1:19" x14ac:dyDescent="0.3">
      <c r="A23" s="4" t="s">
        <v>68</v>
      </c>
      <c r="B23" s="4" t="s">
        <v>75</v>
      </c>
      <c r="C23" s="14">
        <v>45717</v>
      </c>
      <c r="D23" s="4" t="s">
        <v>62</v>
      </c>
      <c r="E23" s="4">
        <v>6760</v>
      </c>
      <c r="F23" s="4">
        <v>1250</v>
      </c>
      <c r="G23" s="5">
        <v>54323.43</v>
      </c>
      <c r="H23" s="14">
        <v>45717</v>
      </c>
      <c r="I23" s="14">
        <v>45897</v>
      </c>
      <c r="J23" s="4">
        <v>6</v>
      </c>
      <c r="K23" s="5">
        <v>9053.91</v>
      </c>
      <c r="L23" s="5">
        <v>0</v>
      </c>
      <c r="M23" s="5">
        <v>0</v>
      </c>
      <c r="N23" s="5">
        <v>0</v>
      </c>
      <c r="O23" s="5">
        <v>0</v>
      </c>
      <c r="P23" s="5">
        <v>9053.91</v>
      </c>
      <c r="Q23" s="5">
        <v>45269.53</v>
      </c>
      <c r="R23" s="5">
        <v>9053.91</v>
      </c>
      <c r="S23" s="5">
        <v>36215.620000000003</v>
      </c>
    </row>
    <row r="24" spans="1:19" x14ac:dyDescent="0.3">
      <c r="A24" s="4" t="s">
        <v>68</v>
      </c>
      <c r="B24" s="4" t="s">
        <v>76</v>
      </c>
      <c r="C24" s="14">
        <v>45717</v>
      </c>
      <c r="D24" s="4" t="s">
        <v>62</v>
      </c>
      <c r="E24" s="4">
        <v>6760</v>
      </c>
      <c r="F24" s="4">
        <v>1250</v>
      </c>
      <c r="G24" s="5">
        <v>31092.5</v>
      </c>
      <c r="H24" s="14">
        <v>45717</v>
      </c>
      <c r="I24" s="14">
        <v>45897</v>
      </c>
      <c r="J24" s="4">
        <v>6</v>
      </c>
      <c r="K24" s="5">
        <v>5182.08</v>
      </c>
      <c r="L24" s="5">
        <v>0</v>
      </c>
      <c r="M24" s="5">
        <v>0</v>
      </c>
      <c r="N24" s="5">
        <v>0</v>
      </c>
      <c r="O24" s="5">
        <v>0</v>
      </c>
      <c r="P24" s="5">
        <v>5182.08</v>
      </c>
      <c r="Q24" s="5">
        <v>25910.42</v>
      </c>
      <c r="R24" s="5">
        <v>5182.08</v>
      </c>
      <c r="S24" s="5">
        <v>20728.330000000002</v>
      </c>
    </row>
    <row r="25" spans="1:19" x14ac:dyDescent="0.3">
      <c r="A25" s="4" t="s">
        <v>77</v>
      </c>
      <c r="B25" s="4" t="s">
        <v>78</v>
      </c>
      <c r="C25" s="14">
        <v>45658</v>
      </c>
      <c r="D25" s="4" t="s">
        <v>62</v>
      </c>
      <c r="E25" s="4">
        <v>6760</v>
      </c>
      <c r="F25" s="4">
        <v>1250</v>
      </c>
      <c r="G25" s="5">
        <v>4900</v>
      </c>
      <c r="H25" s="14">
        <v>45658</v>
      </c>
      <c r="I25" s="14">
        <v>45836</v>
      </c>
      <c r="J25" s="4">
        <v>6</v>
      </c>
      <c r="K25" s="5">
        <v>816.67</v>
      </c>
      <c r="L25" s="5">
        <v>816.67</v>
      </c>
      <c r="M25" s="5">
        <v>4083.33</v>
      </c>
      <c r="N25" s="5">
        <v>816.67</v>
      </c>
      <c r="O25" s="5">
        <v>3266.67</v>
      </c>
      <c r="P25" s="5">
        <v>816.67</v>
      </c>
      <c r="Q25" s="5">
        <v>2450</v>
      </c>
      <c r="R25" s="5">
        <v>816.67</v>
      </c>
      <c r="S25" s="5">
        <v>1633.33</v>
      </c>
    </row>
    <row r="26" spans="1:19" x14ac:dyDescent="0.3">
      <c r="A26" s="4" t="s">
        <v>79</v>
      </c>
      <c r="B26" s="4" t="s">
        <v>80</v>
      </c>
      <c r="C26" s="14">
        <v>45658</v>
      </c>
      <c r="D26" s="4" t="s">
        <v>81</v>
      </c>
      <c r="E26" s="4">
        <v>6762</v>
      </c>
      <c r="F26" s="4">
        <v>1250</v>
      </c>
      <c r="G26" s="5">
        <v>28158</v>
      </c>
      <c r="H26" s="14">
        <v>45658</v>
      </c>
      <c r="I26" s="14">
        <v>45836</v>
      </c>
      <c r="J26" s="4">
        <v>6</v>
      </c>
      <c r="K26" s="5">
        <v>4693</v>
      </c>
      <c r="L26" s="5">
        <v>4693</v>
      </c>
      <c r="M26" s="5">
        <v>23465</v>
      </c>
      <c r="N26" s="5">
        <v>4693</v>
      </c>
      <c r="O26" s="5">
        <v>18772</v>
      </c>
      <c r="P26" s="5">
        <v>4693</v>
      </c>
      <c r="Q26" s="5">
        <v>14079</v>
      </c>
      <c r="R26" s="5">
        <v>4693</v>
      </c>
      <c r="S26" s="5">
        <v>9386</v>
      </c>
    </row>
    <row r="27" spans="1:19" x14ac:dyDescent="0.3">
      <c r="A27" s="4" t="s">
        <v>82</v>
      </c>
      <c r="B27" s="4" t="s">
        <v>83</v>
      </c>
      <c r="C27" s="14">
        <v>45717</v>
      </c>
      <c r="D27" s="4" t="s">
        <v>81</v>
      </c>
      <c r="E27" s="4">
        <v>6762</v>
      </c>
      <c r="F27" s="4">
        <v>1250</v>
      </c>
      <c r="G27" s="5">
        <v>53798.400000000001</v>
      </c>
      <c r="H27" s="14">
        <v>45717</v>
      </c>
      <c r="I27" s="14">
        <v>45897</v>
      </c>
      <c r="J27" s="4">
        <v>6</v>
      </c>
      <c r="K27" s="5">
        <v>8966.4</v>
      </c>
      <c r="L27" s="5">
        <v>0</v>
      </c>
      <c r="M27" s="5">
        <v>0</v>
      </c>
      <c r="N27" s="5">
        <v>0</v>
      </c>
      <c r="O27" s="5">
        <v>0</v>
      </c>
      <c r="P27" s="5">
        <v>8966.4</v>
      </c>
      <c r="Q27" s="5">
        <v>44832</v>
      </c>
      <c r="R27" s="5">
        <v>8966.4</v>
      </c>
      <c r="S27" s="5">
        <v>35865.599999999999</v>
      </c>
    </row>
    <row r="28" spans="1:19" x14ac:dyDescent="0.3">
      <c r="A28" s="4" t="s">
        <v>84</v>
      </c>
      <c r="B28" s="4" t="s">
        <v>85</v>
      </c>
      <c r="C28" s="14">
        <v>45717</v>
      </c>
      <c r="D28" s="4" t="s">
        <v>81</v>
      </c>
      <c r="E28" s="4">
        <v>6762</v>
      </c>
      <c r="F28" s="4">
        <v>1250</v>
      </c>
      <c r="G28" s="5">
        <v>9225</v>
      </c>
      <c r="H28" s="14">
        <v>45717</v>
      </c>
      <c r="I28" s="14">
        <v>45897</v>
      </c>
      <c r="J28" s="4">
        <v>6</v>
      </c>
      <c r="K28" s="5">
        <v>1537.5</v>
      </c>
      <c r="L28" s="5">
        <v>0</v>
      </c>
      <c r="M28" s="5">
        <v>0</v>
      </c>
      <c r="N28" s="5">
        <v>0</v>
      </c>
      <c r="O28" s="5">
        <v>0</v>
      </c>
      <c r="P28" s="5">
        <v>1537.5</v>
      </c>
      <c r="Q28" s="5">
        <v>7687.5</v>
      </c>
      <c r="R28" s="5">
        <v>1537.5</v>
      </c>
      <c r="S28" s="5">
        <v>6150</v>
      </c>
    </row>
    <row r="29" spans="1:19" x14ac:dyDescent="0.3">
      <c r="A29" s="4" t="s">
        <v>84</v>
      </c>
      <c r="B29" s="4" t="s">
        <v>86</v>
      </c>
      <c r="C29" s="14">
        <v>45717</v>
      </c>
      <c r="D29" s="4" t="s">
        <v>81</v>
      </c>
      <c r="E29" s="4">
        <v>6762</v>
      </c>
      <c r="F29" s="4">
        <v>1250</v>
      </c>
      <c r="G29" s="5">
        <v>9225</v>
      </c>
      <c r="H29" s="14">
        <v>45717</v>
      </c>
      <c r="I29" s="14">
        <v>45897</v>
      </c>
      <c r="J29" s="4">
        <v>6</v>
      </c>
      <c r="K29" s="5">
        <v>1537.5</v>
      </c>
      <c r="L29" s="5">
        <v>0</v>
      </c>
      <c r="M29" s="5">
        <v>0</v>
      </c>
      <c r="N29" s="5">
        <v>0</v>
      </c>
      <c r="O29" s="5">
        <v>0</v>
      </c>
      <c r="P29" s="5">
        <v>1537.5</v>
      </c>
      <c r="Q29" s="5">
        <v>7687.5</v>
      </c>
      <c r="R29" s="5">
        <v>1537.5</v>
      </c>
      <c r="S29" s="5">
        <v>6150</v>
      </c>
    </row>
    <row r="30" spans="1:19" x14ac:dyDescent="0.3">
      <c r="A30" s="4" t="s">
        <v>84</v>
      </c>
      <c r="B30" s="4" t="s">
        <v>87</v>
      </c>
      <c r="C30" s="14">
        <v>45717</v>
      </c>
      <c r="D30" s="4" t="s">
        <v>81</v>
      </c>
      <c r="E30" s="4">
        <v>6762</v>
      </c>
      <c r="F30" s="4">
        <v>1250</v>
      </c>
      <c r="G30" s="5">
        <v>9225</v>
      </c>
      <c r="H30" s="14">
        <v>45717</v>
      </c>
      <c r="I30" s="14">
        <v>45897</v>
      </c>
      <c r="J30" s="4">
        <v>6</v>
      </c>
      <c r="K30" s="5">
        <v>1537.5</v>
      </c>
      <c r="L30" s="5">
        <v>0</v>
      </c>
      <c r="M30" s="5">
        <v>0</v>
      </c>
      <c r="N30" s="5">
        <v>0</v>
      </c>
      <c r="O30" s="5">
        <v>0</v>
      </c>
      <c r="P30" s="5">
        <v>1537.5</v>
      </c>
      <c r="Q30" s="5">
        <v>7687.5</v>
      </c>
      <c r="R30" s="5">
        <v>1537.5</v>
      </c>
      <c r="S30" s="5">
        <v>6150</v>
      </c>
    </row>
    <row r="31" spans="1:19" x14ac:dyDescent="0.3">
      <c r="A31" s="4" t="s">
        <v>88</v>
      </c>
      <c r="B31" s="4" t="s">
        <v>89</v>
      </c>
      <c r="C31" s="14">
        <v>45689</v>
      </c>
      <c r="D31" s="4" t="s">
        <v>81</v>
      </c>
      <c r="E31" s="4">
        <v>6762</v>
      </c>
      <c r="F31" s="4">
        <v>1250</v>
      </c>
      <c r="G31" s="5">
        <v>9861.82</v>
      </c>
      <c r="H31" s="14">
        <v>45689</v>
      </c>
      <c r="I31" s="14">
        <v>45866</v>
      </c>
      <c r="J31" s="4">
        <v>6</v>
      </c>
      <c r="K31" s="5">
        <v>1643.64</v>
      </c>
      <c r="L31" s="5">
        <v>0</v>
      </c>
      <c r="M31" s="5">
        <v>0</v>
      </c>
      <c r="N31" s="5">
        <v>1643.64</v>
      </c>
      <c r="O31" s="5">
        <v>8218.18</v>
      </c>
      <c r="P31" s="5">
        <v>1643.64</v>
      </c>
      <c r="Q31" s="5">
        <v>6574.55</v>
      </c>
      <c r="R31" s="5">
        <v>1643.64</v>
      </c>
      <c r="S31" s="5">
        <v>4930.91</v>
      </c>
    </row>
    <row r="32" spans="1:19" x14ac:dyDescent="0.3">
      <c r="A32" s="4" t="s">
        <v>90</v>
      </c>
      <c r="B32" s="4" t="s">
        <v>91</v>
      </c>
      <c r="C32" s="14">
        <v>45748</v>
      </c>
      <c r="D32" s="4" t="s">
        <v>92</v>
      </c>
      <c r="E32" s="4">
        <v>7001</v>
      </c>
      <c r="F32" s="4">
        <v>1250</v>
      </c>
      <c r="G32" s="5">
        <v>81000</v>
      </c>
      <c r="H32" s="14">
        <v>45748</v>
      </c>
      <c r="I32" s="14">
        <v>45928</v>
      </c>
      <c r="J32" s="4">
        <v>6</v>
      </c>
      <c r="K32" s="5">
        <v>13500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13500</v>
      </c>
      <c r="S32" s="5">
        <v>67500</v>
      </c>
    </row>
    <row r="33" spans="1:19" x14ac:dyDescent="0.3">
      <c r="A33" s="4" t="s">
        <v>93</v>
      </c>
      <c r="B33" s="4" t="s">
        <v>94</v>
      </c>
      <c r="C33" s="14">
        <v>45748</v>
      </c>
      <c r="D33" s="4" t="s">
        <v>81</v>
      </c>
      <c r="E33" s="4">
        <v>6762</v>
      </c>
      <c r="F33" s="4">
        <v>1250</v>
      </c>
      <c r="G33" s="5">
        <v>31792</v>
      </c>
      <c r="H33" s="14">
        <v>45748</v>
      </c>
      <c r="I33" s="14">
        <v>45928</v>
      </c>
      <c r="J33" s="4">
        <v>6</v>
      </c>
      <c r="K33" s="5">
        <v>5298.67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5298.67</v>
      </c>
      <c r="S33" s="5">
        <v>26493.33</v>
      </c>
    </row>
    <row r="34" spans="1:19" x14ac:dyDescent="0.3">
      <c r="A34" s="4" t="s">
        <v>93</v>
      </c>
      <c r="B34" s="4" t="s">
        <v>95</v>
      </c>
      <c r="C34" s="14">
        <v>45748</v>
      </c>
      <c r="D34" s="4" t="s">
        <v>81</v>
      </c>
      <c r="E34" s="4">
        <v>6762</v>
      </c>
      <c r="F34" s="4">
        <v>1250</v>
      </c>
      <c r="G34" s="5">
        <v>10000</v>
      </c>
      <c r="H34" s="14">
        <v>45748</v>
      </c>
      <c r="I34" s="14">
        <v>45928</v>
      </c>
      <c r="J34" s="4">
        <v>6</v>
      </c>
      <c r="K34" s="5">
        <v>1666.67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1666.67</v>
      </c>
      <c r="S34" s="5">
        <v>8333.33</v>
      </c>
    </row>
    <row r="35" spans="1:19" x14ac:dyDescent="0.3">
      <c r="A35" s="4" t="s">
        <v>96</v>
      </c>
      <c r="B35" s="4" t="s">
        <v>97</v>
      </c>
      <c r="C35" s="14">
        <v>45658</v>
      </c>
      <c r="D35" s="4" t="s">
        <v>81</v>
      </c>
      <c r="E35" s="4">
        <v>6762</v>
      </c>
      <c r="F35" s="4">
        <v>1250</v>
      </c>
      <c r="G35" s="5">
        <v>275000</v>
      </c>
      <c r="H35" s="14">
        <v>45658</v>
      </c>
      <c r="I35" s="14">
        <v>45836</v>
      </c>
      <c r="J35" s="4">
        <v>6</v>
      </c>
      <c r="K35" s="5">
        <v>45833.33</v>
      </c>
      <c r="L35" s="5">
        <v>45833.33</v>
      </c>
      <c r="M35" s="5">
        <v>229166.67</v>
      </c>
      <c r="N35" s="5">
        <v>45833.33</v>
      </c>
      <c r="O35" s="5">
        <v>183333.33</v>
      </c>
      <c r="P35" s="5">
        <v>45833.33</v>
      </c>
      <c r="Q35" s="5">
        <v>137500</v>
      </c>
      <c r="R35" s="5">
        <v>45833.33</v>
      </c>
      <c r="S35" s="5">
        <v>91666.67</v>
      </c>
    </row>
    <row r="36" spans="1:19" x14ac:dyDescent="0.3">
      <c r="A36" s="4" t="s">
        <v>96</v>
      </c>
      <c r="B36" s="4" t="s">
        <v>98</v>
      </c>
      <c r="C36" s="14">
        <v>45658</v>
      </c>
      <c r="D36" s="4" t="s">
        <v>81</v>
      </c>
      <c r="E36" s="4">
        <v>6762</v>
      </c>
      <c r="F36" s="4">
        <v>1250</v>
      </c>
      <c r="G36" s="5">
        <v>29404.1</v>
      </c>
      <c r="H36" s="14">
        <v>45658</v>
      </c>
      <c r="I36" s="14">
        <v>45836</v>
      </c>
      <c r="J36" s="4">
        <v>6</v>
      </c>
      <c r="K36" s="5">
        <v>4900.68</v>
      </c>
      <c r="L36" s="5">
        <v>4900.68</v>
      </c>
      <c r="M36" s="5">
        <v>24503.42</v>
      </c>
      <c r="N36" s="5">
        <v>4900.68</v>
      </c>
      <c r="O36" s="5">
        <v>19602.73</v>
      </c>
      <c r="P36" s="5">
        <v>4900.68</v>
      </c>
      <c r="Q36" s="5">
        <v>14702.05</v>
      </c>
      <c r="R36" s="5">
        <v>4900.68</v>
      </c>
      <c r="S36" s="5">
        <v>9801.3700000000008</v>
      </c>
    </row>
    <row r="37" spans="1:19" x14ac:dyDescent="0.3">
      <c r="A37" s="4" t="s">
        <v>99</v>
      </c>
      <c r="B37" s="4" t="s">
        <v>100</v>
      </c>
      <c r="C37" s="14">
        <v>45658</v>
      </c>
      <c r="D37" s="4" t="s">
        <v>62</v>
      </c>
      <c r="E37" s="4">
        <v>6760</v>
      </c>
      <c r="F37" s="4">
        <v>1250</v>
      </c>
      <c r="G37" s="5">
        <v>2833.33</v>
      </c>
      <c r="H37" s="14">
        <v>45658</v>
      </c>
      <c r="I37" s="14">
        <v>45836</v>
      </c>
      <c r="J37" s="4">
        <v>6</v>
      </c>
      <c r="K37" s="5">
        <v>472.22</v>
      </c>
      <c r="L37" s="5">
        <v>472.22</v>
      </c>
      <c r="M37" s="5">
        <v>2361.11</v>
      </c>
      <c r="N37" s="5">
        <v>472.22</v>
      </c>
      <c r="O37" s="5">
        <v>1888.89</v>
      </c>
      <c r="P37" s="5">
        <v>472.22</v>
      </c>
      <c r="Q37" s="5">
        <v>1416.67</v>
      </c>
      <c r="R37" s="5">
        <v>472.22</v>
      </c>
      <c r="S37" s="5">
        <v>944.44</v>
      </c>
    </row>
    <row r="38" spans="1:19" x14ac:dyDescent="0.3">
      <c r="A38" s="4" t="s">
        <v>101</v>
      </c>
      <c r="B38" s="4" t="s">
        <v>102</v>
      </c>
      <c r="C38" s="14">
        <v>45748</v>
      </c>
      <c r="D38" s="4" t="s">
        <v>62</v>
      </c>
      <c r="E38" s="4">
        <v>6760</v>
      </c>
      <c r="F38" s="4">
        <v>1250</v>
      </c>
      <c r="G38" s="5">
        <v>19601.98</v>
      </c>
      <c r="H38" s="14">
        <v>45748</v>
      </c>
      <c r="I38" s="14">
        <v>45928</v>
      </c>
      <c r="J38" s="4">
        <v>6</v>
      </c>
      <c r="K38" s="5">
        <v>3267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3267</v>
      </c>
      <c r="S38" s="5">
        <v>16334.98</v>
      </c>
    </row>
    <row r="39" spans="1:19" x14ac:dyDescent="0.3">
      <c r="A39" s="4" t="s">
        <v>103</v>
      </c>
      <c r="B39" s="4" t="s">
        <v>104</v>
      </c>
      <c r="C39" s="14">
        <v>45717</v>
      </c>
      <c r="D39" s="4" t="s">
        <v>62</v>
      </c>
      <c r="E39" s="4">
        <v>6760</v>
      </c>
      <c r="F39" s="4">
        <v>1250</v>
      </c>
      <c r="G39" s="5">
        <v>16800</v>
      </c>
      <c r="H39" s="14">
        <v>45717</v>
      </c>
      <c r="I39" s="14">
        <v>45897</v>
      </c>
      <c r="J39" s="4">
        <v>6</v>
      </c>
      <c r="K39" s="5">
        <v>2800</v>
      </c>
      <c r="L39" s="5">
        <v>0</v>
      </c>
      <c r="M39" s="5">
        <v>0</v>
      </c>
      <c r="N39" s="5">
        <v>0</v>
      </c>
      <c r="O39" s="5">
        <v>0</v>
      </c>
      <c r="P39" s="5">
        <v>2800</v>
      </c>
      <c r="Q39" s="5">
        <v>14000</v>
      </c>
      <c r="R39" s="5">
        <v>2800</v>
      </c>
      <c r="S39" s="5">
        <v>11200</v>
      </c>
    </row>
    <row r="40" spans="1:19" x14ac:dyDescent="0.3">
      <c r="A40" s="4" t="s">
        <v>105</v>
      </c>
      <c r="B40" s="4" t="s">
        <v>106</v>
      </c>
      <c r="C40" s="14">
        <v>45658</v>
      </c>
      <c r="D40" s="4" t="s">
        <v>62</v>
      </c>
      <c r="E40" s="4">
        <v>6760</v>
      </c>
      <c r="F40" s="4">
        <v>1250</v>
      </c>
      <c r="G40" s="5">
        <v>26276</v>
      </c>
      <c r="H40" s="14">
        <v>45658</v>
      </c>
      <c r="I40" s="14">
        <v>45836</v>
      </c>
      <c r="J40" s="4">
        <v>6</v>
      </c>
      <c r="K40" s="5">
        <v>4379.33</v>
      </c>
      <c r="L40" s="5">
        <v>4379.33</v>
      </c>
      <c r="M40" s="5">
        <v>21896.67</v>
      </c>
      <c r="N40" s="5">
        <v>4379.33</v>
      </c>
      <c r="O40" s="5">
        <v>17517.330000000002</v>
      </c>
      <c r="P40" s="5">
        <v>4379.33</v>
      </c>
      <c r="Q40" s="5">
        <v>13138</v>
      </c>
      <c r="R40" s="5">
        <v>4379.33</v>
      </c>
      <c r="S40" s="5">
        <v>8758.67</v>
      </c>
    </row>
    <row r="41" spans="1:19" x14ac:dyDescent="0.3">
      <c r="A41" s="4" t="s">
        <v>107</v>
      </c>
      <c r="B41" s="4" t="s">
        <v>108</v>
      </c>
      <c r="C41" s="14">
        <v>45658</v>
      </c>
      <c r="D41" s="4" t="s">
        <v>62</v>
      </c>
      <c r="E41" s="4">
        <v>6760</v>
      </c>
      <c r="F41" s="4">
        <v>1250</v>
      </c>
      <c r="G41" s="5">
        <v>2725.53</v>
      </c>
      <c r="H41" s="14">
        <v>45658</v>
      </c>
      <c r="I41" s="14">
        <v>45836</v>
      </c>
      <c r="J41" s="4">
        <v>6</v>
      </c>
      <c r="K41" s="5">
        <v>454.26</v>
      </c>
      <c r="L41" s="5">
        <v>454.26</v>
      </c>
      <c r="M41" s="5">
        <v>2271.2800000000002</v>
      </c>
      <c r="N41" s="5">
        <v>454.26</v>
      </c>
      <c r="O41" s="5">
        <v>1817.02</v>
      </c>
      <c r="P41" s="5">
        <v>454.26</v>
      </c>
      <c r="Q41" s="5">
        <v>1362.77</v>
      </c>
      <c r="R41" s="5">
        <v>454.26</v>
      </c>
      <c r="S41" s="5">
        <v>908.51</v>
      </c>
    </row>
    <row r="42" spans="1:19" x14ac:dyDescent="0.3">
      <c r="A42" s="4" t="s">
        <v>109</v>
      </c>
      <c r="B42" s="4" t="s">
        <v>110</v>
      </c>
      <c r="C42" s="14">
        <v>45658</v>
      </c>
      <c r="D42" s="4" t="s">
        <v>62</v>
      </c>
      <c r="E42" s="4">
        <v>6760</v>
      </c>
      <c r="F42" s="4">
        <v>1250</v>
      </c>
      <c r="G42" s="5">
        <v>859</v>
      </c>
      <c r="H42" s="14">
        <v>45658</v>
      </c>
      <c r="I42" s="14">
        <v>45836</v>
      </c>
      <c r="J42" s="4">
        <v>6</v>
      </c>
      <c r="K42" s="5">
        <v>143.16999999999999</v>
      </c>
      <c r="L42" s="5">
        <v>143.16999999999999</v>
      </c>
      <c r="M42" s="5">
        <v>715.83</v>
      </c>
      <c r="N42" s="5">
        <v>143.16999999999999</v>
      </c>
      <c r="O42" s="5">
        <v>572.66999999999996</v>
      </c>
      <c r="P42" s="5">
        <v>143.16999999999999</v>
      </c>
      <c r="Q42" s="5">
        <v>429.5</v>
      </c>
      <c r="R42" s="5">
        <v>143.16999999999999</v>
      </c>
      <c r="S42" s="5">
        <v>286.33</v>
      </c>
    </row>
    <row r="43" spans="1:19" x14ac:dyDescent="0.3">
      <c r="A43" s="4" t="s">
        <v>111</v>
      </c>
      <c r="B43" s="4" t="s">
        <v>112</v>
      </c>
      <c r="C43" s="14">
        <v>45658</v>
      </c>
      <c r="D43" s="4" t="s">
        <v>62</v>
      </c>
      <c r="E43" s="4">
        <v>6760</v>
      </c>
      <c r="F43" s="4">
        <v>1250</v>
      </c>
      <c r="G43" s="5">
        <v>5000</v>
      </c>
      <c r="H43" s="14">
        <v>45658</v>
      </c>
      <c r="I43" s="14">
        <v>45836</v>
      </c>
      <c r="J43" s="4">
        <v>6</v>
      </c>
      <c r="K43" s="5">
        <v>833.33</v>
      </c>
      <c r="L43" s="5">
        <v>833.33</v>
      </c>
      <c r="M43" s="5">
        <v>4166.67</v>
      </c>
      <c r="N43" s="5">
        <v>833.33</v>
      </c>
      <c r="O43" s="5">
        <v>3333.33</v>
      </c>
      <c r="P43" s="5">
        <v>833.33</v>
      </c>
      <c r="Q43" s="5">
        <v>2500</v>
      </c>
      <c r="R43" s="5">
        <v>833.33</v>
      </c>
      <c r="S43" s="5">
        <v>1666.67</v>
      </c>
    </row>
    <row r="44" spans="1:19" x14ac:dyDescent="0.3">
      <c r="A44" s="4" t="s">
        <v>113</v>
      </c>
      <c r="B44" s="4" t="s">
        <v>114</v>
      </c>
      <c r="C44" s="14">
        <v>45658</v>
      </c>
      <c r="D44" s="4" t="s">
        <v>115</v>
      </c>
      <c r="E44" s="4">
        <v>6020</v>
      </c>
      <c r="F44" s="4">
        <v>1250</v>
      </c>
      <c r="G44" s="5">
        <v>451.73</v>
      </c>
      <c r="H44" s="14">
        <v>45658</v>
      </c>
      <c r="I44" s="14">
        <v>45836</v>
      </c>
      <c r="J44" s="4">
        <v>6</v>
      </c>
      <c r="K44" s="5">
        <v>75.290000000000006</v>
      </c>
      <c r="L44" s="5">
        <v>75.290000000000006</v>
      </c>
      <c r="M44" s="5">
        <v>376.44</v>
      </c>
      <c r="N44" s="5">
        <v>75.290000000000006</v>
      </c>
      <c r="O44" s="5">
        <v>301.14999999999998</v>
      </c>
      <c r="P44" s="5">
        <v>75.290000000000006</v>
      </c>
      <c r="Q44" s="5">
        <v>225.87</v>
      </c>
      <c r="R44" s="5">
        <v>75.290000000000006</v>
      </c>
      <c r="S44" s="5">
        <v>150.58000000000001</v>
      </c>
    </row>
    <row r="45" spans="1:19" x14ac:dyDescent="0.3">
      <c r="A45" s="4" t="s">
        <v>113</v>
      </c>
      <c r="B45" s="4" t="s">
        <v>116</v>
      </c>
      <c r="C45" s="14">
        <v>45658</v>
      </c>
      <c r="D45" s="4" t="s">
        <v>115</v>
      </c>
      <c r="E45" s="4">
        <v>6020</v>
      </c>
      <c r="F45" s="4">
        <v>1250</v>
      </c>
      <c r="G45" s="5">
        <v>1537.5</v>
      </c>
      <c r="H45" s="14">
        <v>45658</v>
      </c>
      <c r="I45" s="14">
        <v>45836</v>
      </c>
      <c r="J45" s="4">
        <v>6</v>
      </c>
      <c r="K45" s="5">
        <v>256.25</v>
      </c>
      <c r="L45" s="5">
        <v>256.25</v>
      </c>
      <c r="M45" s="5">
        <v>1281.25</v>
      </c>
      <c r="N45" s="5">
        <v>256.25</v>
      </c>
      <c r="O45" s="5">
        <v>1025</v>
      </c>
      <c r="P45" s="5">
        <v>256.25</v>
      </c>
      <c r="Q45" s="5">
        <v>768.75</v>
      </c>
      <c r="R45" s="5">
        <v>256.25</v>
      </c>
      <c r="S45" s="5">
        <v>512.5</v>
      </c>
    </row>
    <row r="46" spans="1:19" x14ac:dyDescent="0.3">
      <c r="A46" s="4" t="s">
        <v>113</v>
      </c>
      <c r="B46" s="4" t="s">
        <v>117</v>
      </c>
      <c r="C46" s="14">
        <v>45658</v>
      </c>
      <c r="D46" s="4" t="s">
        <v>115</v>
      </c>
      <c r="E46" s="4">
        <v>6020</v>
      </c>
      <c r="F46" s="4">
        <v>1250</v>
      </c>
      <c r="G46" s="5">
        <v>3351.25</v>
      </c>
      <c r="H46" s="14">
        <v>45658</v>
      </c>
      <c r="I46" s="14">
        <v>45836</v>
      </c>
      <c r="J46" s="4">
        <v>6</v>
      </c>
      <c r="K46" s="5">
        <v>558.54</v>
      </c>
      <c r="L46" s="5">
        <v>558.54</v>
      </c>
      <c r="M46" s="5">
        <v>2792.71</v>
      </c>
      <c r="N46" s="5">
        <v>558.54</v>
      </c>
      <c r="O46" s="5">
        <v>2234.17</v>
      </c>
      <c r="P46" s="5">
        <v>558.54</v>
      </c>
      <c r="Q46" s="5">
        <v>1675.63</v>
      </c>
      <c r="R46" s="5">
        <v>558.54</v>
      </c>
      <c r="S46" s="5">
        <v>1117.08</v>
      </c>
    </row>
    <row r="47" spans="1:19" x14ac:dyDescent="0.3">
      <c r="A47" s="4" t="s">
        <v>118</v>
      </c>
      <c r="B47" s="4" t="s">
        <v>119</v>
      </c>
      <c r="C47" s="14">
        <v>45748</v>
      </c>
      <c r="D47" s="4" t="s">
        <v>120</v>
      </c>
      <c r="E47" s="4">
        <v>5730</v>
      </c>
      <c r="F47" s="4">
        <v>1250</v>
      </c>
      <c r="G47" s="5">
        <v>56000</v>
      </c>
      <c r="H47" s="14">
        <v>45748</v>
      </c>
      <c r="I47" s="14">
        <v>45928</v>
      </c>
      <c r="J47" s="4">
        <v>6</v>
      </c>
      <c r="K47" s="5">
        <v>9333.33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9333.33</v>
      </c>
      <c r="S47" s="5">
        <v>46666.67</v>
      </c>
    </row>
    <row r="48" spans="1:19" x14ac:dyDescent="0.3">
      <c r="A48" s="4" t="s">
        <v>118</v>
      </c>
      <c r="B48" s="4" t="s">
        <v>121</v>
      </c>
      <c r="C48" s="14">
        <v>45748</v>
      </c>
      <c r="D48" s="4" t="s">
        <v>120</v>
      </c>
      <c r="E48" s="4">
        <v>5730</v>
      </c>
      <c r="F48" s="4">
        <v>1250</v>
      </c>
      <c r="G48" s="5">
        <v>28000</v>
      </c>
      <c r="H48" s="14">
        <v>45748</v>
      </c>
      <c r="I48" s="14">
        <v>45928</v>
      </c>
      <c r="J48" s="4">
        <v>6</v>
      </c>
      <c r="K48" s="5">
        <v>4666.67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4666.67</v>
      </c>
      <c r="S48" s="5">
        <v>23333.33</v>
      </c>
    </row>
    <row r="49" spans="1:19" x14ac:dyDescent="0.3">
      <c r="A49" s="4" t="s">
        <v>122</v>
      </c>
      <c r="B49" s="4" t="s">
        <v>123</v>
      </c>
      <c r="C49" s="14">
        <v>45658</v>
      </c>
      <c r="D49" s="4" t="s">
        <v>62</v>
      </c>
      <c r="E49" s="4">
        <v>6760</v>
      </c>
      <c r="F49" s="4">
        <v>1250</v>
      </c>
      <c r="G49" s="5">
        <v>3726.67</v>
      </c>
      <c r="H49" s="14">
        <v>45658</v>
      </c>
      <c r="I49" s="14">
        <v>45836</v>
      </c>
      <c r="J49" s="4">
        <v>6</v>
      </c>
      <c r="K49" s="5">
        <v>621.11</v>
      </c>
      <c r="L49" s="5">
        <v>621.11</v>
      </c>
      <c r="M49" s="5">
        <v>3105.56</v>
      </c>
      <c r="N49" s="5">
        <v>621.11</v>
      </c>
      <c r="O49" s="5">
        <v>2484.4499999999998</v>
      </c>
      <c r="P49" s="5">
        <v>621.11</v>
      </c>
      <c r="Q49" s="5">
        <v>1863.34</v>
      </c>
      <c r="R49" s="5">
        <v>621.11</v>
      </c>
      <c r="S49" s="5">
        <v>1242.22</v>
      </c>
    </row>
    <row r="50" spans="1:19" x14ac:dyDescent="0.3">
      <c r="A50" s="4" t="s">
        <v>124</v>
      </c>
      <c r="B50" s="4" t="s">
        <v>125</v>
      </c>
      <c r="C50" s="14">
        <v>45658</v>
      </c>
      <c r="D50" s="4" t="s">
        <v>81</v>
      </c>
      <c r="E50" s="4">
        <v>6762</v>
      </c>
      <c r="F50" s="4">
        <v>1250</v>
      </c>
      <c r="G50" s="5">
        <v>69771.73</v>
      </c>
      <c r="H50" s="14">
        <v>45658</v>
      </c>
      <c r="I50" s="14">
        <v>45836</v>
      </c>
      <c r="J50" s="4">
        <v>6</v>
      </c>
      <c r="K50" s="5">
        <v>11628.62</v>
      </c>
      <c r="L50" s="5">
        <v>11628.62</v>
      </c>
      <c r="M50" s="5">
        <v>58143.11</v>
      </c>
      <c r="N50" s="5">
        <v>11628.62</v>
      </c>
      <c r="O50" s="5">
        <v>46514.49</v>
      </c>
      <c r="P50" s="5">
        <v>11628.62</v>
      </c>
      <c r="Q50" s="5">
        <v>34885.86</v>
      </c>
      <c r="R50" s="5">
        <v>11628.62</v>
      </c>
      <c r="S50" s="5">
        <v>23257.24</v>
      </c>
    </row>
    <row r="51" spans="1:19" x14ac:dyDescent="0.3">
      <c r="A51" s="4" t="s">
        <v>124</v>
      </c>
      <c r="B51" s="4" t="s">
        <v>126</v>
      </c>
      <c r="C51" s="14">
        <v>45748</v>
      </c>
      <c r="D51" s="4" t="s">
        <v>81</v>
      </c>
      <c r="E51" s="4">
        <v>6762</v>
      </c>
      <c r="F51" s="4">
        <v>1250</v>
      </c>
      <c r="G51" s="5">
        <v>8964</v>
      </c>
      <c r="H51" s="14">
        <v>45748</v>
      </c>
      <c r="I51" s="14">
        <v>45928</v>
      </c>
      <c r="J51" s="4">
        <v>6</v>
      </c>
      <c r="K51" s="5">
        <v>1494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1494</v>
      </c>
      <c r="S51" s="5">
        <v>7470</v>
      </c>
    </row>
    <row r="52" spans="1:19" x14ac:dyDescent="0.3">
      <c r="A52" s="4" t="s">
        <v>124</v>
      </c>
      <c r="B52" s="4" t="s">
        <v>127</v>
      </c>
      <c r="C52" s="14">
        <v>45748</v>
      </c>
      <c r="D52" s="4" t="s">
        <v>81</v>
      </c>
      <c r="E52" s="4">
        <v>6762</v>
      </c>
      <c r="F52" s="4">
        <v>1250</v>
      </c>
      <c r="G52" s="5">
        <v>31556.78</v>
      </c>
      <c r="H52" s="14">
        <v>45748</v>
      </c>
      <c r="I52" s="14">
        <v>45928</v>
      </c>
      <c r="J52" s="4">
        <v>6</v>
      </c>
      <c r="K52" s="5">
        <v>5259.46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5259.46</v>
      </c>
      <c r="S52" s="5">
        <v>26297.32</v>
      </c>
    </row>
    <row r="53" spans="1:19" x14ac:dyDescent="0.3">
      <c r="A53" s="4" t="s">
        <v>128</v>
      </c>
      <c r="B53" s="4" t="s">
        <v>129</v>
      </c>
      <c r="C53" s="14">
        <v>45658</v>
      </c>
      <c r="D53" s="4" t="s">
        <v>62</v>
      </c>
      <c r="E53" s="4">
        <v>6760</v>
      </c>
      <c r="F53" s="4">
        <v>1250</v>
      </c>
      <c r="G53" s="5">
        <v>32005.42</v>
      </c>
      <c r="H53" s="14">
        <v>45658</v>
      </c>
      <c r="I53" s="14">
        <v>45836</v>
      </c>
      <c r="J53" s="4">
        <v>6</v>
      </c>
      <c r="K53" s="5">
        <v>5334.24</v>
      </c>
      <c r="L53" s="5">
        <v>5334.24</v>
      </c>
      <c r="M53" s="5">
        <v>26671.18</v>
      </c>
      <c r="N53" s="5">
        <v>5334.24</v>
      </c>
      <c r="O53" s="5">
        <v>21336.95</v>
      </c>
      <c r="P53" s="5">
        <v>5334.24</v>
      </c>
      <c r="Q53" s="5">
        <v>16002.71</v>
      </c>
      <c r="R53" s="5">
        <v>5334.24</v>
      </c>
      <c r="S53" s="5">
        <v>10668.47</v>
      </c>
    </row>
    <row r="56" spans="1:19" x14ac:dyDescent="0.3">
      <c r="A56" s="9" t="s">
        <v>130</v>
      </c>
      <c r="B56" s="10"/>
      <c r="C56" s="10"/>
      <c r="D56" s="10"/>
      <c r="E56" s="10"/>
      <c r="F56" s="10"/>
    </row>
    <row r="57" spans="1:19" x14ac:dyDescent="0.3">
      <c r="A57" s="11" t="s">
        <v>14</v>
      </c>
      <c r="B57" s="11" t="s">
        <v>131</v>
      </c>
      <c r="C57" s="11" t="s">
        <v>132</v>
      </c>
      <c r="D57" s="11" t="s">
        <v>133</v>
      </c>
      <c r="E57" s="11" t="s">
        <v>134</v>
      </c>
      <c r="F57" s="11" t="s">
        <v>8</v>
      </c>
    </row>
    <row r="58" spans="1:19" x14ac:dyDescent="0.3">
      <c r="A58" s="4" t="s">
        <v>23</v>
      </c>
      <c r="B58" s="5">
        <v>622721.82999999996</v>
      </c>
      <c r="C58" s="5">
        <v>103786.97</v>
      </c>
      <c r="D58" s="5">
        <v>518934.86</v>
      </c>
      <c r="E58" s="5">
        <v>518934.86</v>
      </c>
      <c r="F58" s="5">
        <v>0</v>
      </c>
    </row>
    <row r="59" spans="1:19" x14ac:dyDescent="0.3">
      <c r="A59" s="4" t="s">
        <v>24</v>
      </c>
      <c r="B59" s="5">
        <v>13830.29</v>
      </c>
      <c r="C59" s="5">
        <v>106092.02</v>
      </c>
      <c r="D59" s="5">
        <v>426673.13</v>
      </c>
      <c r="E59" s="5">
        <v>426673.13</v>
      </c>
      <c r="F59" s="5">
        <v>0</v>
      </c>
    </row>
    <row r="60" spans="1:19" x14ac:dyDescent="0.3">
      <c r="A60" s="4" t="s">
        <v>25</v>
      </c>
      <c r="B60" s="5">
        <v>183689.33</v>
      </c>
      <c r="C60" s="5">
        <v>136706.91</v>
      </c>
      <c r="D60" s="5">
        <v>473655.55</v>
      </c>
      <c r="E60" s="5">
        <v>473655.55</v>
      </c>
      <c r="F60" s="5">
        <v>0</v>
      </c>
    </row>
    <row r="61" spans="1:19" x14ac:dyDescent="0.3">
      <c r="A61" s="4" t="s">
        <v>26</v>
      </c>
      <c r="B61" s="5">
        <v>266914.76</v>
      </c>
      <c r="C61" s="5">
        <v>181192.7</v>
      </c>
      <c r="D61" s="5">
        <v>559377.61</v>
      </c>
      <c r="E61" s="5">
        <v>559377.61</v>
      </c>
      <c r="F61" s="5">
        <v>0</v>
      </c>
    </row>
    <row r="62" spans="1:19" x14ac:dyDescent="0.3">
      <c r="A62" s="6" t="s">
        <v>135</v>
      </c>
      <c r="B62" s="8">
        <v>1087156.21</v>
      </c>
      <c r="C62" s="8">
        <v>527778.6</v>
      </c>
      <c r="D62" s="8">
        <v>559377.61</v>
      </c>
      <c r="E62" s="8">
        <v>559377.61</v>
      </c>
      <c r="F62" s="8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workbookViewId="0">
      <pane ySplit="11" topLeftCell="A1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21" customWidth="1"/>
    <col min="4" max="4" width="18" customWidth="1"/>
    <col min="5" max="6" width="14" customWidth="1"/>
    <col min="7" max="7" width="17" customWidth="1"/>
    <col min="8" max="9" width="21" customWidth="1"/>
    <col min="10" max="10" width="12" customWidth="1"/>
    <col min="11" max="11" width="17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</cols>
  <sheetData>
    <row r="1" spans="1:19" ht="21" x14ac:dyDescent="0.4">
      <c r="A1" s="1" t="s">
        <v>0</v>
      </c>
    </row>
    <row r="2" spans="1:19" x14ac:dyDescent="0.3">
      <c r="A2" s="2" t="s">
        <v>136</v>
      </c>
    </row>
    <row r="4" spans="1:19" x14ac:dyDescent="0.3">
      <c r="A4" s="9" t="s">
        <v>35</v>
      </c>
      <c r="B4" s="9" t="s">
        <v>36</v>
      </c>
    </row>
    <row r="5" spans="1:19" x14ac:dyDescent="0.3">
      <c r="A5" s="13" t="s">
        <v>37</v>
      </c>
      <c r="B5" s="4">
        <v>1251</v>
      </c>
    </row>
    <row r="6" spans="1:19" x14ac:dyDescent="0.3">
      <c r="A6" s="13" t="s">
        <v>38</v>
      </c>
      <c r="B6" s="5">
        <v>568698.22</v>
      </c>
    </row>
    <row r="7" spans="1:19" x14ac:dyDescent="0.3">
      <c r="A7" s="13" t="s">
        <v>39</v>
      </c>
      <c r="B7" s="5">
        <v>198721.53</v>
      </c>
    </row>
    <row r="8" spans="1:19" x14ac:dyDescent="0.3">
      <c r="A8" s="13" t="s">
        <v>40</v>
      </c>
      <c r="B8" s="5">
        <v>369976.7</v>
      </c>
    </row>
    <row r="9" spans="1:19" x14ac:dyDescent="0.3">
      <c r="A9" s="13" t="s">
        <v>41</v>
      </c>
      <c r="B9" s="5">
        <v>369976.7</v>
      </c>
    </row>
    <row r="10" spans="1:19" x14ac:dyDescent="0.3">
      <c r="A10" s="13" t="s">
        <v>8</v>
      </c>
      <c r="B10" s="5">
        <v>0</v>
      </c>
    </row>
    <row r="12" spans="1:19" ht="36" customHeight="1" x14ac:dyDescent="0.3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3</v>
      </c>
      <c r="G12" s="3" t="s">
        <v>47</v>
      </c>
      <c r="H12" s="3" t="s">
        <v>48</v>
      </c>
      <c r="I12" s="3" t="s">
        <v>49</v>
      </c>
      <c r="J12" s="3" t="s">
        <v>50</v>
      </c>
      <c r="K12" s="3" t="s">
        <v>51</v>
      </c>
      <c r="L12" s="3" t="s">
        <v>52</v>
      </c>
      <c r="M12" s="3" t="s">
        <v>53</v>
      </c>
      <c r="N12" s="3" t="s">
        <v>54</v>
      </c>
      <c r="O12" s="3" t="s">
        <v>55</v>
      </c>
      <c r="P12" s="3" t="s">
        <v>56</v>
      </c>
      <c r="Q12" s="3" t="s">
        <v>57</v>
      </c>
      <c r="R12" s="3" t="s">
        <v>58</v>
      </c>
      <c r="S12" s="3" t="s">
        <v>59</v>
      </c>
    </row>
    <row r="13" spans="1:19" x14ac:dyDescent="0.3">
      <c r="A13" s="4" t="s">
        <v>137</v>
      </c>
      <c r="B13" s="4" t="s">
        <v>138</v>
      </c>
      <c r="C13" s="14">
        <v>45658</v>
      </c>
      <c r="D13" s="4" t="s">
        <v>139</v>
      </c>
      <c r="E13" s="4">
        <v>5015</v>
      </c>
      <c r="F13" s="4">
        <v>1251</v>
      </c>
      <c r="G13" s="5">
        <v>5493.27</v>
      </c>
      <c r="H13" s="14">
        <v>45689</v>
      </c>
      <c r="I13" s="14">
        <v>45716</v>
      </c>
      <c r="J13" s="4">
        <v>1</v>
      </c>
      <c r="K13" s="5">
        <v>5493.27</v>
      </c>
      <c r="L13" s="5">
        <v>0</v>
      </c>
      <c r="M13" s="5">
        <v>5493.27</v>
      </c>
      <c r="N13" s="5">
        <v>5493.27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</row>
    <row r="14" spans="1:19" x14ac:dyDescent="0.3">
      <c r="A14" s="4" t="s">
        <v>137</v>
      </c>
      <c r="B14" s="4" t="s">
        <v>140</v>
      </c>
      <c r="C14" s="14">
        <v>45689</v>
      </c>
      <c r="D14" s="4" t="s">
        <v>139</v>
      </c>
      <c r="E14" s="4">
        <v>5015</v>
      </c>
      <c r="F14" s="4">
        <v>1251</v>
      </c>
      <c r="G14" s="5">
        <v>5493.27</v>
      </c>
      <c r="H14" s="14">
        <v>45717</v>
      </c>
      <c r="I14" s="14">
        <v>45747</v>
      </c>
      <c r="J14" s="4">
        <v>1</v>
      </c>
      <c r="K14" s="5">
        <v>5493.27</v>
      </c>
      <c r="L14" s="5">
        <v>0</v>
      </c>
      <c r="M14" s="5">
        <v>0</v>
      </c>
      <c r="N14" s="5">
        <v>0</v>
      </c>
      <c r="O14" s="5">
        <v>5493.27</v>
      </c>
      <c r="P14" s="5">
        <v>5493.27</v>
      </c>
      <c r="Q14" s="5">
        <v>0</v>
      </c>
      <c r="R14" s="5">
        <v>0</v>
      </c>
      <c r="S14" s="5">
        <v>0</v>
      </c>
    </row>
    <row r="15" spans="1:19" x14ac:dyDescent="0.3">
      <c r="A15" s="4" t="s">
        <v>137</v>
      </c>
      <c r="B15" s="4" t="s">
        <v>141</v>
      </c>
      <c r="C15" s="14">
        <v>45717</v>
      </c>
      <c r="D15" s="4" t="s">
        <v>139</v>
      </c>
      <c r="E15" s="4">
        <v>5015</v>
      </c>
      <c r="F15" s="4">
        <v>1251</v>
      </c>
      <c r="G15" s="5">
        <v>5493.27</v>
      </c>
      <c r="H15" s="14">
        <v>45748</v>
      </c>
      <c r="I15" s="14">
        <v>45777</v>
      </c>
      <c r="J15" s="4">
        <v>1</v>
      </c>
      <c r="K15" s="5">
        <v>5493.27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5493.27</v>
      </c>
      <c r="R15" s="5">
        <v>5493.27</v>
      </c>
      <c r="S15" s="5">
        <v>0</v>
      </c>
    </row>
    <row r="16" spans="1:19" x14ac:dyDescent="0.3">
      <c r="A16" s="4" t="s">
        <v>137</v>
      </c>
      <c r="B16" s="4" t="s">
        <v>142</v>
      </c>
      <c r="C16" s="14">
        <v>45748</v>
      </c>
      <c r="D16" s="4" t="s">
        <v>139</v>
      </c>
      <c r="E16" s="4">
        <v>5015</v>
      </c>
      <c r="F16" s="4">
        <v>1251</v>
      </c>
      <c r="G16" s="5">
        <v>5493.27</v>
      </c>
      <c r="H16" s="14">
        <v>45778</v>
      </c>
      <c r="I16" s="14">
        <v>45808</v>
      </c>
      <c r="J16" s="4">
        <v>1</v>
      </c>
      <c r="K16" s="5">
        <v>5493.27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5493.27</v>
      </c>
    </row>
    <row r="17" spans="1:19" x14ac:dyDescent="0.3">
      <c r="A17" s="4" t="s">
        <v>143</v>
      </c>
      <c r="B17" s="4" t="s">
        <v>144</v>
      </c>
      <c r="C17" s="14">
        <v>45658</v>
      </c>
      <c r="D17" s="4" t="s">
        <v>145</v>
      </c>
      <c r="E17" s="4">
        <v>5400</v>
      </c>
      <c r="F17" s="4">
        <v>1251</v>
      </c>
      <c r="G17" s="5">
        <v>88270.75</v>
      </c>
      <c r="H17" s="14">
        <v>45658</v>
      </c>
      <c r="I17" s="14">
        <v>46022</v>
      </c>
      <c r="J17" s="4">
        <v>12</v>
      </c>
      <c r="K17" s="5">
        <v>7355.9</v>
      </c>
      <c r="L17" s="5">
        <v>7355.9</v>
      </c>
      <c r="M17" s="5">
        <v>80914.850000000006</v>
      </c>
      <c r="N17" s="5">
        <v>7355.9</v>
      </c>
      <c r="O17" s="5">
        <v>73558.960000000006</v>
      </c>
      <c r="P17" s="5">
        <v>7355.9</v>
      </c>
      <c r="Q17" s="5">
        <v>66203.06</v>
      </c>
      <c r="R17" s="5">
        <v>7355.9</v>
      </c>
      <c r="S17" s="5">
        <v>58847.17</v>
      </c>
    </row>
    <row r="18" spans="1:19" x14ac:dyDescent="0.3">
      <c r="A18" s="4" t="s">
        <v>143</v>
      </c>
      <c r="B18" s="4" t="s">
        <v>146</v>
      </c>
      <c r="C18" s="14">
        <v>45658</v>
      </c>
      <c r="D18" s="4" t="s">
        <v>145</v>
      </c>
      <c r="E18" s="4">
        <v>5400</v>
      </c>
      <c r="F18" s="4">
        <v>1251</v>
      </c>
      <c r="G18" s="5">
        <v>39128</v>
      </c>
      <c r="H18" s="14">
        <v>45658</v>
      </c>
      <c r="I18" s="14">
        <v>46022</v>
      </c>
      <c r="J18" s="4">
        <v>12</v>
      </c>
      <c r="K18" s="5">
        <v>3260.67</v>
      </c>
      <c r="L18" s="5">
        <v>3260.67</v>
      </c>
      <c r="M18" s="5">
        <v>35867.33</v>
      </c>
      <c r="N18" s="5">
        <v>3260.67</v>
      </c>
      <c r="O18" s="5">
        <v>32606.67</v>
      </c>
      <c r="P18" s="5">
        <v>3260.67</v>
      </c>
      <c r="Q18" s="5">
        <v>29346</v>
      </c>
      <c r="R18" s="5">
        <v>3260.67</v>
      </c>
      <c r="S18" s="5">
        <v>26085.33</v>
      </c>
    </row>
    <row r="19" spans="1:19" x14ac:dyDescent="0.3">
      <c r="A19" s="4" t="s">
        <v>143</v>
      </c>
      <c r="B19" s="4" t="s">
        <v>147</v>
      </c>
      <c r="C19" s="14">
        <v>45658</v>
      </c>
      <c r="D19" s="4" t="s">
        <v>145</v>
      </c>
      <c r="E19" s="4">
        <v>5400</v>
      </c>
      <c r="F19" s="4">
        <v>1251</v>
      </c>
      <c r="G19" s="5">
        <v>73254.95</v>
      </c>
      <c r="H19" s="14">
        <v>45658</v>
      </c>
      <c r="I19" s="14">
        <v>46022</v>
      </c>
      <c r="J19" s="4">
        <v>12</v>
      </c>
      <c r="K19" s="5">
        <v>6104.58</v>
      </c>
      <c r="L19" s="5">
        <v>6104.58</v>
      </c>
      <c r="M19" s="5">
        <v>67150.37</v>
      </c>
      <c r="N19" s="5">
        <v>6104.58</v>
      </c>
      <c r="O19" s="5">
        <v>61045.79</v>
      </c>
      <c r="P19" s="5">
        <v>6104.58</v>
      </c>
      <c r="Q19" s="5">
        <v>54941.21</v>
      </c>
      <c r="R19" s="5">
        <v>6104.58</v>
      </c>
      <c r="S19" s="5">
        <v>48836.63</v>
      </c>
    </row>
    <row r="20" spans="1:19" x14ac:dyDescent="0.3">
      <c r="A20" s="4" t="s">
        <v>143</v>
      </c>
      <c r="B20" s="4" t="s">
        <v>148</v>
      </c>
      <c r="C20" s="14">
        <v>45658</v>
      </c>
      <c r="D20" s="4" t="s">
        <v>145</v>
      </c>
      <c r="E20" s="4">
        <v>5400</v>
      </c>
      <c r="F20" s="4">
        <v>1251</v>
      </c>
      <c r="G20" s="5">
        <v>23800</v>
      </c>
      <c r="H20" s="14">
        <v>45658</v>
      </c>
      <c r="I20" s="14">
        <v>46022</v>
      </c>
      <c r="J20" s="4">
        <v>12</v>
      </c>
      <c r="K20" s="5">
        <v>1983.33</v>
      </c>
      <c r="L20" s="5">
        <v>1983.33</v>
      </c>
      <c r="M20" s="5">
        <v>21816.67</v>
      </c>
      <c r="N20" s="5">
        <v>1983.33</v>
      </c>
      <c r="O20" s="5">
        <v>19833.330000000002</v>
      </c>
      <c r="P20" s="5">
        <v>1983.33</v>
      </c>
      <c r="Q20" s="5">
        <v>17850</v>
      </c>
      <c r="R20" s="5">
        <v>1983.33</v>
      </c>
      <c r="S20" s="5">
        <v>15866.67</v>
      </c>
    </row>
    <row r="21" spans="1:19" x14ac:dyDescent="0.3">
      <c r="A21" s="4" t="s">
        <v>143</v>
      </c>
      <c r="B21" s="4" t="s">
        <v>149</v>
      </c>
      <c r="C21" s="14">
        <v>45658</v>
      </c>
      <c r="D21" s="4" t="s">
        <v>145</v>
      </c>
      <c r="E21" s="4">
        <v>5400</v>
      </c>
      <c r="F21" s="4">
        <v>1251</v>
      </c>
      <c r="G21" s="5">
        <v>11864.44</v>
      </c>
      <c r="H21" s="14">
        <v>45658</v>
      </c>
      <c r="I21" s="14">
        <v>46022</v>
      </c>
      <c r="J21" s="4">
        <v>12</v>
      </c>
      <c r="K21" s="5">
        <v>988.7</v>
      </c>
      <c r="L21" s="5">
        <v>988.7</v>
      </c>
      <c r="M21" s="5">
        <v>10875.74</v>
      </c>
      <c r="N21" s="5">
        <v>988.7</v>
      </c>
      <c r="O21" s="5">
        <v>9887.0300000000007</v>
      </c>
      <c r="P21" s="5">
        <v>988.7</v>
      </c>
      <c r="Q21" s="5">
        <v>8898.33</v>
      </c>
      <c r="R21" s="5">
        <v>988.7</v>
      </c>
      <c r="S21" s="5">
        <v>7909.63</v>
      </c>
    </row>
    <row r="22" spans="1:19" x14ac:dyDescent="0.3">
      <c r="A22" s="4" t="s">
        <v>143</v>
      </c>
      <c r="B22" s="4" t="s">
        <v>150</v>
      </c>
      <c r="C22" s="14">
        <v>45658</v>
      </c>
      <c r="D22" s="4" t="s">
        <v>145</v>
      </c>
      <c r="E22" s="4">
        <v>5400</v>
      </c>
      <c r="F22" s="4">
        <v>1251</v>
      </c>
      <c r="G22" s="5">
        <v>33724</v>
      </c>
      <c r="H22" s="14">
        <v>45658</v>
      </c>
      <c r="I22" s="14">
        <v>46022</v>
      </c>
      <c r="J22" s="4">
        <v>12</v>
      </c>
      <c r="K22" s="5">
        <v>2810.33</v>
      </c>
      <c r="L22" s="5">
        <v>2810.33</v>
      </c>
      <c r="M22" s="5">
        <v>30913.67</v>
      </c>
      <c r="N22" s="5">
        <v>2810.33</v>
      </c>
      <c r="O22" s="5">
        <v>28103.33</v>
      </c>
      <c r="P22" s="5">
        <v>2810.33</v>
      </c>
      <c r="Q22" s="5">
        <v>25293</v>
      </c>
      <c r="R22" s="5">
        <v>2810.33</v>
      </c>
      <c r="S22" s="5">
        <v>22482.67</v>
      </c>
    </row>
    <row r="23" spans="1:19" x14ac:dyDescent="0.3">
      <c r="A23" s="4" t="s">
        <v>143</v>
      </c>
      <c r="B23" s="4" t="s">
        <v>151</v>
      </c>
      <c r="C23" s="14">
        <v>45658</v>
      </c>
      <c r="D23" s="4" t="s">
        <v>145</v>
      </c>
      <c r="E23" s="4">
        <v>5400</v>
      </c>
      <c r="F23" s="4">
        <v>1251</v>
      </c>
      <c r="G23" s="5">
        <v>11259</v>
      </c>
      <c r="H23" s="14">
        <v>45658</v>
      </c>
      <c r="I23" s="14">
        <v>46022</v>
      </c>
      <c r="J23" s="4">
        <v>12</v>
      </c>
      <c r="K23" s="5">
        <v>938.25</v>
      </c>
      <c r="L23" s="5">
        <v>938.25</v>
      </c>
      <c r="M23" s="5">
        <v>10320.75</v>
      </c>
      <c r="N23" s="5">
        <v>938.25</v>
      </c>
      <c r="O23" s="5">
        <v>9382.5</v>
      </c>
      <c r="P23" s="5">
        <v>938.25</v>
      </c>
      <c r="Q23" s="5">
        <v>8444.25</v>
      </c>
      <c r="R23" s="5">
        <v>938.25</v>
      </c>
      <c r="S23" s="5">
        <v>7506</v>
      </c>
    </row>
    <row r="24" spans="1:19" x14ac:dyDescent="0.3">
      <c r="A24" s="4" t="s">
        <v>143</v>
      </c>
      <c r="B24" s="4" t="s">
        <v>152</v>
      </c>
      <c r="C24" s="14">
        <v>45658</v>
      </c>
      <c r="D24" s="4" t="s">
        <v>145</v>
      </c>
      <c r="E24" s="4">
        <v>5400</v>
      </c>
      <c r="F24" s="4">
        <v>1251</v>
      </c>
      <c r="G24" s="5">
        <v>23204</v>
      </c>
      <c r="H24" s="14">
        <v>45658</v>
      </c>
      <c r="I24" s="14">
        <v>46022</v>
      </c>
      <c r="J24" s="4">
        <v>12</v>
      </c>
      <c r="K24" s="5">
        <v>1933.67</v>
      </c>
      <c r="L24" s="5">
        <v>1933.67</v>
      </c>
      <c r="M24" s="5">
        <v>21270.33</v>
      </c>
      <c r="N24" s="5">
        <v>1933.67</v>
      </c>
      <c r="O24" s="5">
        <v>19336.669999999998</v>
      </c>
      <c r="P24" s="5">
        <v>1933.67</v>
      </c>
      <c r="Q24" s="5">
        <v>17403</v>
      </c>
      <c r="R24" s="5">
        <v>1933.67</v>
      </c>
      <c r="S24" s="5">
        <v>15469.33</v>
      </c>
    </row>
    <row r="25" spans="1:19" x14ac:dyDescent="0.3">
      <c r="A25" s="4" t="s">
        <v>143</v>
      </c>
      <c r="B25" s="4" t="s">
        <v>153</v>
      </c>
      <c r="C25" s="14">
        <v>45658</v>
      </c>
      <c r="D25" s="4" t="s">
        <v>145</v>
      </c>
      <c r="E25" s="4">
        <v>5400</v>
      </c>
      <c r="F25" s="4">
        <v>1251</v>
      </c>
      <c r="G25" s="5">
        <v>11861</v>
      </c>
      <c r="H25" s="14">
        <v>45658</v>
      </c>
      <c r="I25" s="14">
        <v>46022</v>
      </c>
      <c r="J25" s="4">
        <v>12</v>
      </c>
      <c r="K25" s="5">
        <v>988.42</v>
      </c>
      <c r="L25" s="5">
        <v>988.42</v>
      </c>
      <c r="M25" s="5">
        <v>10872.58</v>
      </c>
      <c r="N25" s="5">
        <v>988.42</v>
      </c>
      <c r="O25" s="5">
        <v>9884.17</v>
      </c>
      <c r="P25" s="5">
        <v>988.42</v>
      </c>
      <c r="Q25" s="5">
        <v>8895.75</v>
      </c>
      <c r="R25" s="5">
        <v>988.42</v>
      </c>
      <c r="S25" s="5">
        <v>7907.33</v>
      </c>
    </row>
    <row r="26" spans="1:19" x14ac:dyDescent="0.3">
      <c r="A26" s="4" t="s">
        <v>143</v>
      </c>
      <c r="B26" s="4" t="s">
        <v>154</v>
      </c>
      <c r="C26" s="14">
        <v>45658</v>
      </c>
      <c r="D26" s="4" t="s">
        <v>145</v>
      </c>
      <c r="E26" s="4">
        <v>5400</v>
      </c>
      <c r="F26" s="4">
        <v>1251</v>
      </c>
      <c r="G26" s="5">
        <v>33695</v>
      </c>
      <c r="H26" s="14">
        <v>45658</v>
      </c>
      <c r="I26" s="14">
        <v>46022</v>
      </c>
      <c r="J26" s="4">
        <v>12</v>
      </c>
      <c r="K26" s="5">
        <v>2807.92</v>
      </c>
      <c r="L26" s="5">
        <v>2807.92</v>
      </c>
      <c r="M26" s="5">
        <v>30887.08</v>
      </c>
      <c r="N26" s="5">
        <v>2807.92</v>
      </c>
      <c r="O26" s="5">
        <v>28079.17</v>
      </c>
      <c r="P26" s="5">
        <v>2807.92</v>
      </c>
      <c r="Q26" s="5">
        <v>25271.25</v>
      </c>
      <c r="R26" s="5">
        <v>2807.92</v>
      </c>
      <c r="S26" s="5">
        <v>22463.33</v>
      </c>
    </row>
    <row r="27" spans="1:19" x14ac:dyDescent="0.3">
      <c r="A27" s="4" t="s">
        <v>143</v>
      </c>
      <c r="B27" s="4" t="s">
        <v>155</v>
      </c>
      <c r="C27" s="14">
        <v>45658</v>
      </c>
      <c r="D27" s="4" t="s">
        <v>145</v>
      </c>
      <c r="E27" s="4">
        <v>5400</v>
      </c>
      <c r="F27" s="4">
        <v>1251</v>
      </c>
      <c r="G27" s="5">
        <v>11259</v>
      </c>
      <c r="H27" s="14">
        <v>45658</v>
      </c>
      <c r="I27" s="14">
        <v>46022</v>
      </c>
      <c r="J27" s="4">
        <v>12</v>
      </c>
      <c r="K27" s="5">
        <v>938.25</v>
      </c>
      <c r="L27" s="5">
        <v>938.25</v>
      </c>
      <c r="M27" s="5">
        <v>10320.75</v>
      </c>
      <c r="N27" s="5">
        <v>938.25</v>
      </c>
      <c r="O27" s="5">
        <v>9382.5</v>
      </c>
      <c r="P27" s="5">
        <v>938.25</v>
      </c>
      <c r="Q27" s="5">
        <v>8444.25</v>
      </c>
      <c r="R27" s="5">
        <v>938.25</v>
      </c>
      <c r="S27" s="5">
        <v>7506</v>
      </c>
    </row>
    <row r="28" spans="1:19" x14ac:dyDescent="0.3">
      <c r="A28" s="4" t="s">
        <v>143</v>
      </c>
      <c r="B28" s="4" t="s">
        <v>156</v>
      </c>
      <c r="C28" s="14">
        <v>45658</v>
      </c>
      <c r="D28" s="4" t="s">
        <v>145</v>
      </c>
      <c r="E28" s="4">
        <v>5400</v>
      </c>
      <c r="F28" s="4">
        <v>1251</v>
      </c>
      <c r="G28" s="5">
        <v>23194</v>
      </c>
      <c r="H28" s="14">
        <v>45658</v>
      </c>
      <c r="I28" s="14">
        <v>46022</v>
      </c>
      <c r="J28" s="4">
        <v>12</v>
      </c>
      <c r="K28" s="5">
        <v>1932.83</v>
      </c>
      <c r="L28" s="5">
        <v>1932.83</v>
      </c>
      <c r="M28" s="5">
        <v>21261.17</v>
      </c>
      <c r="N28" s="5">
        <v>1932.83</v>
      </c>
      <c r="O28" s="5">
        <v>19328.330000000002</v>
      </c>
      <c r="P28" s="5">
        <v>1932.83</v>
      </c>
      <c r="Q28" s="5">
        <v>17395.5</v>
      </c>
      <c r="R28" s="5">
        <v>1932.83</v>
      </c>
      <c r="S28" s="5">
        <v>15462.67</v>
      </c>
    </row>
    <row r="29" spans="1:19" x14ac:dyDescent="0.3">
      <c r="A29" s="4" t="s">
        <v>143</v>
      </c>
      <c r="B29" s="4" t="s">
        <v>157</v>
      </c>
      <c r="C29" s="14">
        <v>45658</v>
      </c>
      <c r="D29" s="4" t="s">
        <v>145</v>
      </c>
      <c r="E29" s="4">
        <v>5400</v>
      </c>
      <c r="F29" s="4">
        <v>1251</v>
      </c>
      <c r="G29" s="5">
        <v>11259</v>
      </c>
      <c r="H29" s="14">
        <v>45658</v>
      </c>
      <c r="I29" s="14">
        <v>46022</v>
      </c>
      <c r="J29" s="4">
        <v>12</v>
      </c>
      <c r="K29" s="5">
        <v>938.25</v>
      </c>
      <c r="L29" s="5">
        <v>938.25</v>
      </c>
      <c r="M29" s="5">
        <v>10320.75</v>
      </c>
      <c r="N29" s="5">
        <v>938.25</v>
      </c>
      <c r="O29" s="5">
        <v>9382.5</v>
      </c>
      <c r="P29" s="5">
        <v>938.25</v>
      </c>
      <c r="Q29" s="5">
        <v>8444.25</v>
      </c>
      <c r="R29" s="5">
        <v>938.25</v>
      </c>
      <c r="S29" s="5">
        <v>7506</v>
      </c>
    </row>
    <row r="30" spans="1:19" x14ac:dyDescent="0.3">
      <c r="A30" s="4" t="s">
        <v>143</v>
      </c>
      <c r="B30" s="4" t="s">
        <v>158</v>
      </c>
      <c r="C30" s="14">
        <v>45658</v>
      </c>
      <c r="D30" s="4" t="s">
        <v>145</v>
      </c>
      <c r="E30" s="4">
        <v>5400</v>
      </c>
      <c r="F30" s="4">
        <v>1251</v>
      </c>
      <c r="G30" s="5">
        <v>33695</v>
      </c>
      <c r="H30" s="14">
        <v>45658</v>
      </c>
      <c r="I30" s="14">
        <v>46022</v>
      </c>
      <c r="J30" s="4">
        <v>12</v>
      </c>
      <c r="K30" s="5">
        <v>2807.92</v>
      </c>
      <c r="L30" s="5">
        <v>2807.92</v>
      </c>
      <c r="M30" s="5">
        <v>30887.08</v>
      </c>
      <c r="N30" s="5">
        <v>2807.92</v>
      </c>
      <c r="O30" s="5">
        <v>28079.17</v>
      </c>
      <c r="P30" s="5">
        <v>2807.92</v>
      </c>
      <c r="Q30" s="5">
        <v>25271.25</v>
      </c>
      <c r="R30" s="5">
        <v>2807.92</v>
      </c>
      <c r="S30" s="5">
        <v>22463.33</v>
      </c>
    </row>
    <row r="31" spans="1:19" x14ac:dyDescent="0.3">
      <c r="A31" s="4" t="s">
        <v>143</v>
      </c>
      <c r="B31" s="4" t="s">
        <v>159</v>
      </c>
      <c r="C31" s="14">
        <v>45658</v>
      </c>
      <c r="D31" s="4" t="s">
        <v>145</v>
      </c>
      <c r="E31" s="4">
        <v>5400</v>
      </c>
      <c r="F31" s="4">
        <v>1251</v>
      </c>
      <c r="G31" s="5">
        <v>23194</v>
      </c>
      <c r="H31" s="14">
        <v>45658</v>
      </c>
      <c r="I31" s="14">
        <v>46022</v>
      </c>
      <c r="J31" s="4">
        <v>12</v>
      </c>
      <c r="K31" s="5">
        <v>1932.83</v>
      </c>
      <c r="L31" s="5">
        <v>1932.83</v>
      </c>
      <c r="M31" s="5">
        <v>21261.17</v>
      </c>
      <c r="N31" s="5">
        <v>1932.83</v>
      </c>
      <c r="O31" s="5">
        <v>19328.330000000002</v>
      </c>
      <c r="P31" s="5">
        <v>1932.83</v>
      </c>
      <c r="Q31" s="5">
        <v>17395.5</v>
      </c>
      <c r="R31" s="5">
        <v>1932.83</v>
      </c>
      <c r="S31" s="5">
        <v>15462.67</v>
      </c>
    </row>
    <row r="32" spans="1:19" x14ac:dyDescent="0.3">
      <c r="A32" s="4" t="s">
        <v>143</v>
      </c>
      <c r="B32" s="4" t="s">
        <v>160</v>
      </c>
      <c r="C32" s="14">
        <v>45658</v>
      </c>
      <c r="D32" s="4" t="s">
        <v>145</v>
      </c>
      <c r="E32" s="4">
        <v>5400</v>
      </c>
      <c r="F32" s="4">
        <v>1251</v>
      </c>
      <c r="G32" s="5">
        <v>11861</v>
      </c>
      <c r="H32" s="14">
        <v>45658</v>
      </c>
      <c r="I32" s="14">
        <v>46022</v>
      </c>
      <c r="J32" s="4">
        <v>12</v>
      </c>
      <c r="K32" s="5">
        <v>988.42</v>
      </c>
      <c r="L32" s="5">
        <v>988.42</v>
      </c>
      <c r="M32" s="5">
        <v>10872.58</v>
      </c>
      <c r="N32" s="5">
        <v>988.42</v>
      </c>
      <c r="O32" s="5">
        <v>9884.17</v>
      </c>
      <c r="P32" s="5">
        <v>988.42</v>
      </c>
      <c r="Q32" s="5">
        <v>8895.75</v>
      </c>
      <c r="R32" s="5">
        <v>988.42</v>
      </c>
      <c r="S32" s="5">
        <v>7907.33</v>
      </c>
    </row>
    <row r="33" spans="1:19" x14ac:dyDescent="0.3">
      <c r="A33" s="4" t="s">
        <v>143</v>
      </c>
      <c r="B33" s="4" t="s">
        <v>161</v>
      </c>
      <c r="C33" s="14">
        <v>45658</v>
      </c>
      <c r="D33" s="4" t="s">
        <v>145</v>
      </c>
      <c r="E33" s="4">
        <v>5400</v>
      </c>
      <c r="F33" s="4">
        <v>1251</v>
      </c>
      <c r="G33" s="5">
        <v>2193</v>
      </c>
      <c r="H33" s="14">
        <v>45658</v>
      </c>
      <c r="I33" s="14">
        <v>46022</v>
      </c>
      <c r="J33" s="4">
        <v>12</v>
      </c>
      <c r="K33" s="5">
        <v>182.75</v>
      </c>
      <c r="L33" s="5">
        <v>182.75</v>
      </c>
      <c r="M33" s="5">
        <v>2010.25</v>
      </c>
      <c r="N33" s="5">
        <v>182.75</v>
      </c>
      <c r="O33" s="5">
        <v>1827.5</v>
      </c>
      <c r="P33" s="5">
        <v>182.75</v>
      </c>
      <c r="Q33" s="5">
        <v>1644.75</v>
      </c>
      <c r="R33" s="5">
        <v>182.75</v>
      </c>
      <c r="S33" s="5">
        <v>1462</v>
      </c>
    </row>
    <row r="34" spans="1:19" x14ac:dyDescent="0.3">
      <c r="A34" s="4" t="s">
        <v>143</v>
      </c>
      <c r="B34" s="4" t="s">
        <v>162</v>
      </c>
      <c r="C34" s="14">
        <v>45658</v>
      </c>
      <c r="D34" s="4" t="s">
        <v>145</v>
      </c>
      <c r="E34" s="4">
        <v>5400</v>
      </c>
      <c r="F34" s="4">
        <v>1251</v>
      </c>
      <c r="G34" s="5">
        <v>23194</v>
      </c>
      <c r="H34" s="14">
        <v>45658</v>
      </c>
      <c r="I34" s="14">
        <v>46022</v>
      </c>
      <c r="J34" s="4">
        <v>12</v>
      </c>
      <c r="K34" s="5">
        <v>1932.83</v>
      </c>
      <c r="L34" s="5">
        <v>1932.83</v>
      </c>
      <c r="M34" s="5">
        <v>21261.17</v>
      </c>
      <c r="N34" s="5">
        <v>1932.83</v>
      </c>
      <c r="O34" s="5">
        <v>19328.330000000002</v>
      </c>
      <c r="P34" s="5">
        <v>1932.83</v>
      </c>
      <c r="Q34" s="5">
        <v>17395.5</v>
      </c>
      <c r="R34" s="5">
        <v>1932.83</v>
      </c>
      <c r="S34" s="5">
        <v>15462.67</v>
      </c>
    </row>
    <row r="35" spans="1:19" x14ac:dyDescent="0.3">
      <c r="A35" s="4" t="s">
        <v>143</v>
      </c>
      <c r="B35" s="4" t="s">
        <v>163</v>
      </c>
      <c r="C35" s="14">
        <v>45658</v>
      </c>
      <c r="D35" s="4" t="s">
        <v>145</v>
      </c>
      <c r="E35" s="4">
        <v>5400</v>
      </c>
      <c r="F35" s="4">
        <v>1251</v>
      </c>
      <c r="G35" s="5">
        <v>11861</v>
      </c>
      <c r="H35" s="14">
        <v>45658</v>
      </c>
      <c r="I35" s="14">
        <v>46022</v>
      </c>
      <c r="J35" s="4">
        <v>12</v>
      </c>
      <c r="K35" s="5">
        <v>988.42</v>
      </c>
      <c r="L35" s="5">
        <v>988.42</v>
      </c>
      <c r="M35" s="5">
        <v>10872.58</v>
      </c>
      <c r="N35" s="5">
        <v>988.42</v>
      </c>
      <c r="O35" s="5">
        <v>9884.17</v>
      </c>
      <c r="P35" s="5">
        <v>988.42</v>
      </c>
      <c r="Q35" s="5">
        <v>8895.75</v>
      </c>
      <c r="R35" s="5">
        <v>988.42</v>
      </c>
      <c r="S35" s="5">
        <v>7907.33</v>
      </c>
    </row>
    <row r="36" spans="1:19" x14ac:dyDescent="0.3">
      <c r="A36" s="4" t="s">
        <v>143</v>
      </c>
      <c r="B36" s="4" t="s">
        <v>164</v>
      </c>
      <c r="C36" s="14">
        <v>45658</v>
      </c>
      <c r="D36" s="4" t="s">
        <v>145</v>
      </c>
      <c r="E36" s="4">
        <v>5400</v>
      </c>
      <c r="F36" s="4">
        <v>1251</v>
      </c>
      <c r="G36" s="5">
        <v>11259</v>
      </c>
      <c r="H36" s="14">
        <v>45658</v>
      </c>
      <c r="I36" s="14">
        <v>46022</v>
      </c>
      <c r="J36" s="4">
        <v>12</v>
      </c>
      <c r="K36" s="5">
        <v>938.25</v>
      </c>
      <c r="L36" s="5">
        <v>938.25</v>
      </c>
      <c r="M36" s="5">
        <v>10320.75</v>
      </c>
      <c r="N36" s="5">
        <v>938.25</v>
      </c>
      <c r="O36" s="5">
        <v>9382.5</v>
      </c>
      <c r="P36" s="5">
        <v>938.25</v>
      </c>
      <c r="Q36" s="5">
        <v>8444.25</v>
      </c>
      <c r="R36" s="5">
        <v>938.25</v>
      </c>
      <c r="S36" s="5">
        <v>7506</v>
      </c>
    </row>
    <row r="37" spans="1:19" x14ac:dyDescent="0.3">
      <c r="A37" s="4" t="s">
        <v>143</v>
      </c>
      <c r="B37" s="4" t="s">
        <v>165</v>
      </c>
      <c r="C37" s="14">
        <v>45658</v>
      </c>
      <c r="D37" s="4" t="s">
        <v>145</v>
      </c>
      <c r="E37" s="4">
        <v>5400</v>
      </c>
      <c r="F37" s="4">
        <v>1251</v>
      </c>
      <c r="G37" s="5">
        <v>33695</v>
      </c>
      <c r="H37" s="14">
        <v>45658</v>
      </c>
      <c r="I37" s="14">
        <v>46022</v>
      </c>
      <c r="J37" s="4">
        <v>12</v>
      </c>
      <c r="K37" s="5">
        <v>2807.92</v>
      </c>
      <c r="L37" s="5">
        <v>2807.92</v>
      </c>
      <c r="M37" s="5">
        <v>30887.08</v>
      </c>
      <c r="N37" s="5">
        <v>2807.92</v>
      </c>
      <c r="O37" s="5">
        <v>28079.17</v>
      </c>
      <c r="P37" s="5">
        <v>2807.92</v>
      </c>
      <c r="Q37" s="5">
        <v>25271.25</v>
      </c>
      <c r="R37" s="5">
        <v>2807.92</v>
      </c>
      <c r="S37" s="5">
        <v>22463.33</v>
      </c>
    </row>
    <row r="40" spans="1:19" x14ac:dyDescent="0.3">
      <c r="A40" s="9" t="s">
        <v>130</v>
      </c>
      <c r="B40" s="10"/>
      <c r="C40" s="10"/>
      <c r="D40" s="10"/>
      <c r="E40" s="10"/>
      <c r="F40" s="10"/>
    </row>
    <row r="41" spans="1:19" x14ac:dyDescent="0.3">
      <c r="A41" s="11" t="s">
        <v>14</v>
      </c>
      <c r="B41" s="11" t="s">
        <v>131</v>
      </c>
      <c r="C41" s="11" t="s">
        <v>132</v>
      </c>
      <c r="D41" s="11" t="s">
        <v>133</v>
      </c>
      <c r="E41" s="11" t="s">
        <v>134</v>
      </c>
      <c r="F41" s="11" t="s">
        <v>8</v>
      </c>
    </row>
    <row r="42" spans="1:19" x14ac:dyDescent="0.3">
      <c r="A42" s="4" t="s">
        <v>23</v>
      </c>
      <c r="B42" s="5">
        <v>552218.41</v>
      </c>
      <c r="C42" s="5">
        <v>45560.43</v>
      </c>
      <c r="D42" s="5">
        <v>506657.98</v>
      </c>
      <c r="E42" s="5">
        <v>506657.98</v>
      </c>
      <c r="F42" s="5">
        <v>0</v>
      </c>
    </row>
    <row r="43" spans="1:19" x14ac:dyDescent="0.3">
      <c r="A43" s="4" t="s">
        <v>24</v>
      </c>
      <c r="B43" s="5">
        <v>5493.27</v>
      </c>
      <c r="C43" s="5">
        <v>51053.7</v>
      </c>
      <c r="D43" s="5">
        <v>461097.55</v>
      </c>
      <c r="E43" s="5">
        <v>461097.55</v>
      </c>
      <c r="F43" s="5">
        <v>0</v>
      </c>
    </row>
    <row r="44" spans="1:19" x14ac:dyDescent="0.3">
      <c r="A44" s="4" t="s">
        <v>25</v>
      </c>
      <c r="B44" s="5">
        <v>5493.27</v>
      </c>
      <c r="C44" s="5">
        <v>51053.7</v>
      </c>
      <c r="D44" s="5">
        <v>415537.13</v>
      </c>
      <c r="E44" s="5">
        <v>415537.13</v>
      </c>
      <c r="F44" s="5">
        <v>0</v>
      </c>
    </row>
    <row r="45" spans="1:19" x14ac:dyDescent="0.3">
      <c r="A45" s="4" t="s">
        <v>26</v>
      </c>
      <c r="B45" s="5">
        <v>5493.27</v>
      </c>
      <c r="C45" s="5">
        <v>51053.7</v>
      </c>
      <c r="D45" s="5">
        <v>369976.7</v>
      </c>
      <c r="E45" s="5">
        <v>369976.7</v>
      </c>
      <c r="F45" s="5">
        <v>0</v>
      </c>
    </row>
    <row r="46" spans="1:19" x14ac:dyDescent="0.3">
      <c r="A46" s="6" t="s">
        <v>135</v>
      </c>
      <c r="B46" s="8">
        <v>568698.22</v>
      </c>
      <c r="C46" s="8">
        <v>198721.53</v>
      </c>
      <c r="D46" s="8">
        <v>369976.7</v>
      </c>
      <c r="E46" s="8">
        <v>369976.7</v>
      </c>
      <c r="F46" s="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Prepaid Summary</vt:lpstr>
      <vt:lpstr>Prepaid Expenses (1250)</vt:lpstr>
      <vt:lpstr>Prepaid Insurance (1251)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2026-03-27T01:06:54Z</dcterms:created>
  <dcterms:modified xsi:type="dcterms:W3CDTF">2026-03-27T01:08:17Z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2026-03-27T01:08:13Z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b8f95a74-7545-4870-a368-1b1dc5140e59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